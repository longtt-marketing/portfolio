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4b2acf555446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conomics" sheetId="1" r:id="R65f32dae9d214a5f"/>
    <x:sheet xmlns:r="http://schemas.openxmlformats.org/officeDocument/2006/relationships" name="Delivery" sheetId="2" r:id="Re340eb2926ab48f7"/>
    <x:sheet xmlns:r="http://schemas.openxmlformats.org/officeDocument/2006/relationships" name="Tracking QA" sheetId="3" r:id="R2acc0cc6b7f44c35"/>
    <x:sheet xmlns:r="http://schemas.openxmlformats.org/officeDocument/2006/relationships" name="Evidence" sheetId="4" r:id="Rd86661aa1ed9403d"/>
    <x:sheet xmlns:r="http://schemas.openxmlformats.org/officeDocument/2006/relationships" name="Search launch" sheetId="5" r:id="Rabb386c0b2024587"/>
    <x:sheet xmlns:r="http://schemas.openxmlformats.org/officeDocument/2006/relationships" name="Ad copy" sheetId="6" r:id="R02fb9396c96b42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S$&quot;#,##0.00;(&quot;S$&quot;#,##0.00);&quot;–&quot;"/>
    <x:numFmt numFmtId="201" formatCode="0.0%"/>
    <x:numFmt numFmtId="202" formatCode="#,##0;(#,##0);&quot;–&quot;"/>
    <x:numFmt numFmtId="203" formatCode="@"/>
    <x:numFmt numFmtId="204" formatCode="dd-mmm-yyyy"/>
    <x:numFmt numFmtId="205" formatCode="dd-mmm-yyyy hh:mm"/>
  </x:numFmts>
  <x:fonts count="8">
    <x:font>
      <x:sz val="11"/>
      <x:name val="Carlito"/>
    </x:font>
    <x:font>
      <x:sz val="11"/>
      <x:color rgb="FF142239"/>
      <x:name val="Arial"/>
    </x:font>
    <x:font>
      <x:b/>
      <x:sz val="16"/>
      <x:color rgb="FF142239"/>
      <x:name val="Arial"/>
    </x:font>
    <x:font>
      <x:sz val="11"/>
      <x:color rgb="FF00804A"/>
      <x:name val="Arial"/>
    </x:font>
    <x:font>
      <x:sz val="11"/>
      <x:color rgb="FF1253B1"/>
      <x:name val="Arial"/>
    </x:font>
    <x:font>
      <x:b/>
      <x:sz val="11"/>
      <x:color rgb="FFFFFFFF"/>
      <x:name val="Arial"/>
    </x:font>
    <x:font>
      <x:b/>
      <x:sz val="11"/>
      <x:color rgb="FF142239"/>
      <x:name val="Arial"/>
    </x:font>
    <x:font>
      <x:sz val="10"/>
      <x:color rgb="FF52617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1D6"/>
      </x:patternFill>
    </x:fill>
    <x:fill>
      <x:patternFill patternType="solid">
        <x:fgColor rgb="FF142239"/>
      </x:patternFill>
    </x:fill>
    <x:fill>
      <x:patternFill patternType="solid">
        <x:fgColor rgb="FFEAF0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2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6" fillId="4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6" fillId="4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4" fillId="2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b/>
        <x:color rgb="FFA32424"/>
      </x:font>
      <x:fill>
        <x:patternFill patternType="solid">
          <x:bgColor rgb="FFFCE9E9"/>
        </x:patternFill>
      </x:fill>
    </x:dxf>
    <x:dxf>
      <x:font>
        <x:b/>
        <x:color rgb="FFA32424"/>
      </x:font>
      <x:fill>
        <x:patternFill patternType="solid">
          <x:bgColor rgb="FFFCE9E9"/>
        </x:patternFill>
      </x:fill>
    </x:dxf>
    <x:dxf>
      <x:font>
        <x:b/>
        <x:color rgb="FFA32424"/>
      </x:font>
      <x:fill>
        <x:patternFill patternType="solid">
          <x:bgColor rgb="FFFCE9E9"/>
        </x:patternFill>
      </x:fill>
    </x:dxf>
    <x:dxf>
      <x:font>
        <x:color rgb="FF8A4B00"/>
      </x:font>
      <x:fill>
        <x:patternFill patternType="solid">
          <x:bgColor rgb="FFFFF1D6"/>
        </x:patternFill>
      </x:fill>
    </x:dxf>
    <x:dxf>
      <x:font>
        <x:color rgb="FF8A4B00"/>
      </x:font>
      <x:fill>
        <x:patternFill patternType="solid">
          <x:bgColor rgb="FFFFF1D6"/>
        </x:patternFill>
      </x:fill>
    </x:dxf>
    <x:dxf>
      <x:font>
        <x:b/>
        <x:color rgb="FFA32424"/>
      </x:font>
      <x:fill>
        <x:patternFill patternType="solid">
          <x:bgColor rgb="FFFCE9E9"/>
        </x:patternFill>
      </x:fill>
    </x:dxf>
    <x:dxf>
      <x:font>
        <x:b/>
        <x:color rgb="FFA32424"/>
      </x:font>
      <x:fill>
        <x:patternFill patternType="solid">
          <x:bgColor rgb="FFFCE9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fc276a10cf4fb2" /><Relationship Type="http://schemas.openxmlformats.org/officeDocument/2006/relationships/theme" Target="/xl/theme/theme1.xml" Id="R46b02adf79df49fd" /><Relationship Type="http://schemas.openxmlformats.org/officeDocument/2006/relationships/sharedStrings" Target="/xl/sharedStrings.xml" Id="R2831ee0298184a6c" /><Relationship Type="http://schemas.openxmlformats.org/officeDocument/2006/relationships/worksheet" Target="/xl/worksheets/sheet1.xml" Id="R65f32dae9d214a5f" /><Relationship Type="http://schemas.openxmlformats.org/officeDocument/2006/relationships/worksheet" Target="/xl/worksheets/sheet2.xml" Id="Re340eb2926ab48f7" /><Relationship Type="http://schemas.openxmlformats.org/officeDocument/2006/relationships/worksheet" Target="/xl/worksheets/sheet3.xml" Id="R2acc0cc6b7f44c35" /><Relationship Type="http://schemas.openxmlformats.org/officeDocument/2006/relationships/worksheet" Target="/xl/worksheets/sheet4.xml" Id="Rd86661aa1ed9403d" /><Relationship Type="http://schemas.openxmlformats.org/officeDocument/2006/relationships/worksheet" Target="/xl/worksheets/sheet5.xml" Id="Rabb386c0b2024587" /><Relationship Type="http://schemas.openxmlformats.org/officeDocument/2006/relationships/worksheet" Target="/xl/worksheets/sheet6.xml" Id="R02fb9396c96b42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25" hidden="0" customWidth="1"/>
    <x:col min="2" max="2" width="41.25" hidden="0" customWidth="1"/>
    <x:col min="3" max="3" width="21.8799991607666" hidden="0" customWidth="1"/>
    <x:col min="4" max="4" width="3.5" hidden="0" customWidth="1"/>
    <x:col min="5" max="5" width="36.25" hidden="0" customWidth="1"/>
    <x:col min="6" max="6" width="16.8799991607666" hidden="0" customWidth="1"/>
    <x:col min="7" max="7" width="41.2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</x:row>
    <x:row r="2" ht="26" customHeight="1">
      <x:c r="A2" s="2"/>
      <x:c r="B2" s="3" t="str">
        <x:v>Pilot economics (SGD)</x:v>
      </x:c>
      <x:c r="C2" s="2"/>
      <x:c r="D2" s="2"/>
      <x:c r="E2" s="2"/>
      <x:c r="F2" s="2"/>
      <x:c r="G2" s="2"/>
    </x:row>
    <x:row r="3" ht="26" customHeight="1">
      <x:c r="A3" s="2"/>
      <x:c r="B3" s="2"/>
      <x:c r="C3" s="2"/>
      <x:c r="D3" s="2"/>
      <x:c r="E3" s="2"/>
      <x:c r="F3" s="2"/>
      <x:c r="G3" s="2"/>
    </x:row>
    <x:row r="4" ht="26" customHeight="1">
      <x:c r="A4" s="2"/>
      <x:c r="B4" s="2" t="str">
        <x:v>Case selected</x:v>
      </x:c>
      <x:c r="C4" s="4" t="str">
        <x:f>IF(NOT(ISNUMBER(F4)),"Choose 1-3",IF(OR(F4&lt;1,F4&gt;3,F4&lt;&gt;INT(F4)),"Choose 1-3",CHOOSE(F4,"Downside","Base","Upside")))</x:f>
        <x:v>Base</x:v>
      </x:c>
      <x:c r="D4" s="2"/>
      <x:c r="E4" s="2" t="str">
        <x:v>Case: 1 downside, 2 base, 3 upside</x:v>
      </x:c>
      <x:c r="F4" s="6" t="n">
        <x:v>2</x:v>
      </x:c>
      <x:c r="G4" s="2"/>
    </x:row>
    <x:row r="5" ht="26" customHeight="1">
      <x:c r="A5" s="2"/>
      <x:c r="B5" s="2" t="str">
        <x:v>All outputs are planned, not actual results</x:v>
      </x:c>
      <x:c r="C5" s="2"/>
      <x:c r="D5" s="2"/>
      <x:c r="E5" s="2" t="str">
        <x:v>Amber: edit. SGD throughout; no USD conversion.</x:v>
      </x:c>
      <x:c r="F5" s="2"/>
      <x:c r="G5" s="2"/>
    </x:row>
    <x:row r="6" ht="26" customHeight="1">
      <x:c r="A6" s="2"/>
      <x:c r="B6" s="2"/>
      <x:c r="C6" s="2"/>
      <x:c r="D6" s="2"/>
      <x:c r="E6" s="2"/>
      <x:c r="F6" s="2"/>
      <x:c r="G6" s="2"/>
    </x:row>
    <x:row r="7" ht="29" customHeight="1">
      <x:c r="A7" s="2"/>
      <x:c r="B7" s="8" t="str">
        <x:v>Input status</x:v>
      </x:c>
      <x:c r="C7" s="8" t="str">
        <x:f>IF(OR(COUNT(F8:F18)&lt;&gt;11,COUNT(F22,F27,F32,F37,F42,F47,F52)&lt;&gt;7),"Missing input",IF(OR(MIN(F8:F18)&lt;0,F14&gt;=1,ABS(SUM(F16:F18)-1)&gt;0.000001,MIN(F22,F27,F32,F37,F42,F47,F52)&lt;0,F15&lt;&gt;INT(F15),F22&lt;&gt;INT(F22),F27&lt;&gt;INT(F27),F32&lt;&gt;INT(F32),F37&lt;&gt;INT(F37),F42&lt;&gt;INT(F42),F47&lt;&gt;INT(F47),F52&lt;&gt;INT(F52),F22&lt;F27,F27&lt;F32,F32&lt;F37,F32-F37&lt;F42,F42&lt;F47,F47&lt;F52),"Invalid input","Valid"))</x:f>
        <x:v>Valid</x:v>
      </x:c>
      <x:c r="D7" s="2"/>
      <x:c r="E7" s="8" t="str">
        <x:v>Input</x:v>
      </x:c>
      <x:c r="F7" s="8" t="str">
        <x:v>Value</x:v>
      </x:c>
      <x:c r="G7" s="8" t="str">
        <x:v>Basis</x:v>
      </x:c>
    </x:row>
    <x:row r="8" ht="34" customHeight="1">
      <x:c r="A8" s="2"/>
      <x:c r="B8" s="14" t="str">
        <x:v>Total pilot costs</x:v>
      </x:c>
      <x:c r="C8" s="26" t="n">
        <x:f>IF($C$7&lt;&gt;"Valid","n.a.",SUM(F8:F11))</x:f>
        <x:v>6000</x:v>
      </x:c>
      <x:c r="D8" s="2"/>
      <x:c r="E8" s="2" t="str">
        <x:v>Media ceiling</x:v>
      </x:c>
      <x:c r="F8" s="9" t="n">
        <x:v>3000</x:v>
      </x:c>
      <x:c r="G8" s="12" t="str">
        <x:v>Proposed budget; not a spend instruction</x:v>
      </x:c>
    </x:row>
    <x:row r="9" ht="34" customHeight="1">
      <x:c r="A9" s="2"/>
      <x:c r="B9" s="2" t="str">
        <x:v>Net paid bookings</x:v>
      </x:c>
      <x:c r="C9" s="21" t="n">
        <x:f>IF($C$7&lt;&gt;"Valid","n.a.",F32-F37)</x:f>
        <x:v>70</x:v>
      </x:c>
      <x:c r="D9" s="2"/>
      <x:c r="E9" s="2" t="str">
        <x:v>Management, four weeks</x:v>
      </x:c>
      <x:c r="F9" s="9" t="n">
        <x:v>2000</x:v>
      </x:c>
      <x:c r="G9" s="12" t="str">
        <x:v>80 hours at S$25/hour</x:v>
      </x:c>
    </x:row>
    <x:row r="10" ht="34" customHeight="1">
      <x:c r="A10" s="2"/>
      <x:c r="B10" s="2" t="str">
        <x:v>Net enrolments</x:v>
      </x:c>
      <x:c r="C10" s="21" t="n">
        <x:f>IF($C$7&lt;&gt;"Valid","n.a.",F47-F52)</x:f>
        <x:v>18</x:v>
      </x:c>
      <x:c r="D10" s="2"/>
      <x:c r="E10" s="2" t="str">
        <x:v>Follow-up</x:v>
      </x:c>
      <x:c r="F10" s="9" t="n">
        <x:v>300</x:v>
      </x:c>
      <x:c r="G10" s="12" t="str">
        <x:v>12 hours at S$25; three later checkpoints</x:v>
      </x:c>
    </x:row>
    <x:row r="11" ht="34" customHeight="1">
      <x:c r="A11" s="2"/>
      <x:c r="B11" s="2" t="str">
        <x:v>Media / qualified enquiry</x:v>
      </x:c>
      <x:c r="C11" s="20" t="n">
        <x:f>IF($C$7&lt;&gt;"Valid","n.a.",IF(F27=0,"n.a.",F8/F27))</x:f>
        <x:v>21.428571428571427</x:v>
      </x:c>
      <x:c r="D11" s="2"/>
      <x:c r="E11" s="2" t="str">
        <x:v>Additional costs</x:v>
      </x:c>
      <x:c r="F11" s="9" t="n">
        <x:v>700</x:v>
      </x:c>
      <x:c r="G11" s="12" t="str">
        <x:v>250 creative +150 tools +300 fees/tax allowance</x:v>
      </x:c>
    </x:row>
    <x:row r="12" ht="34" customHeight="1">
      <x:c r="A12" s="2"/>
      <x:c r="B12" s="2" t="str">
        <x:v>Media / net paid booking</x:v>
      </x:c>
      <x:c r="C12" s="20" t="n">
        <x:f>IF($C$7&lt;&gt;"Valid","n.a.",IF(C9=0,"n.a.",F8/C9))</x:f>
        <x:v>42.857142857142854</x:v>
      </x:c>
      <x:c r="D12" s="2"/>
      <x:c r="E12" s="2" t="str">
        <x:v>Net RDA contribution</x:v>
      </x:c>
      <x:c r="F12" s="9" t="n">
        <x:v>10</x:v>
      </x:c>
      <x:c r="G12" s="12" t="str">
        <x:v>Assumption after variable costs/refunds</x:v>
      </x:c>
    </x:row>
    <x:row r="13" ht="34" customHeight="1">
      <x:c r="A13" s="2"/>
      <x:c r="B13" s="2" t="str">
        <x:v>Media / net enrolment</x:v>
      </x:c>
      <x:c r="C13" s="20" t="n">
        <x:f>IF($C$7&lt;&gt;"Valid","n.a.",IF(C10=0,"n.a.",F8/C10))</x:f>
        <x:v>166.66666666666666</x:v>
      </x:c>
      <x:c r="D13" s="2"/>
      <x:c r="E13" s="2" t="str">
        <x:v>Net course contribution</x:v>
      </x:c>
      <x:c r="F13" s="9" t="n">
        <x:v>450</x:v>
      </x:c>
      <x:c r="G13" s="12" t="str">
        <x:v>Incremental 90-day contribution; not tuition</x:v>
      </x:c>
    </x:row>
    <x:row r="14" ht="34" customHeight="1">
      <x:c r="A14" s="2"/>
      <x:c r="B14" s="2" t="str">
        <x:v>All pilot costs / enrolment</x:v>
      </x:c>
      <x:c r="C14" s="20" t="n">
        <x:f>IF($C$7&lt;&gt;"Valid","n.a.",IF(C10=0,"n.a.",C8/C10))</x:f>
        <x:v>333.3333333333333</x:v>
      </x:c>
      <x:c r="D14" s="2"/>
      <x:c r="E14" s="2" t="str">
        <x:v>Contribution reserve</x:v>
      </x:c>
      <x:c r="F14" s="10" t="n">
        <x:v>0.2</x:v>
      </x:c>
      <x:c r="G14" s="12" t="str">
        <x:v>Management reserve, not confidence interval</x:v>
      </x:c>
    </x:row>
    <x:row r="15" ht="34" customHeight="1">
      <x:c r="A15" s="2"/>
      <x:c r="B15" s="2" t="str">
        <x:v>Contribution before marketing</x:v>
      </x:c>
      <x:c r="C15" s="20" t="n">
        <x:f>IF($C$7&lt;&gt;"Valid","n.a.",C9*F12+C10*F13)</x:f>
        <x:v>8800</x:v>
      </x:c>
      <x:c r="D15" s="2"/>
      <x:c r="E15" s="2" t="str">
        <x:v>Gross booking capacity</x:v>
      </x:c>
      <x:c r="F15" s="11" t="n">
        <x:v>96</x:v>
      </x:c>
      <x:c r="G15" s="12" t="str">
        <x:v>8 seats x2 centres x6 service weeks</x:v>
      </x:c>
    </x:row>
    <x:row r="16" ht="34" customHeight="1">
      <x:c r="A16" s="2"/>
      <x:c r="B16" s="2" t="str">
        <x:v>Contribution after pilot costs</x:v>
      </x:c>
      <x:c r="C16" s="20" t="n">
        <x:f>IF($C$7&lt;&gt;"Valid","n.a.",C15-C8)</x:f>
        <x:v>2800</x:v>
      </x:c>
      <x:c r="D16" s="2"/>
      <x:c r="E16" s="2" t="str">
        <x:v>Meta prospecting share</x:v>
      </x:c>
      <x:c r="F16" s="10" t="n">
        <x:v>0.5</x:v>
      </x:c>
      <x:c r="G16" s="12" t="str">
        <x:v>Reallocate remarketing only within total cap</x:v>
      </x:c>
    </x:row>
    <x:row r="17" ht="34" customHeight="1">
      <x:c r="A17" s="2"/>
      <x:c r="B17" s="2" t="str">
        <x:v>Contribution reserve</x:v>
      </x:c>
      <x:c r="C17" s="20" t="n">
        <x:f>IF($C$7&lt;&gt;"Valid","n.a.",C15*F14)</x:f>
        <x:v>1760</x:v>
      </x:c>
      <x:c r="D17" s="2"/>
      <x:c r="E17" s="2" t="str">
        <x:v>Search share</x:v>
      </x:c>
      <x:c r="F17" s="10" t="n">
        <x:v>0.4</x:v>
      </x:c>
      <x:c r="G17" s="12" t="str">
        <x:v>Demand and quality must justify spend</x:v>
      </x:c>
    </x:row>
    <x:row r="18" ht="34" customHeight="1">
      <x:c r="A18" s="2"/>
      <x:c r="B18" s="14" t="str">
        <x:v>After reserve and pilot costs</x:v>
      </x:c>
      <x:c r="C18" s="26" t="n">
        <x:f>IF($C$7&lt;&gt;"Valid","n.a.",C16-C17)</x:f>
        <x:v>1040</x:v>
      </x:c>
      <x:c r="D18" s="2"/>
      <x:c r="E18" s="2" t="str">
        <x:v>Remarketing share</x:v>
      </x:c>
      <x:c r="F18" s="10" t="n">
        <x:v>0.1</x:v>
      </x:c>
      <x:c r="G18" s="12" t="str">
        <x:v>Only eligible audience; else prospecting</x:v>
      </x:c>
    </x:row>
    <x:row r="19" ht="34" customHeight="1">
      <x:c r="A19" s="2"/>
      <x:c r="B19" s="2" t="str">
        <x:v>Course contribution to break even</x:v>
      </x:c>
      <x:c r="C19" s="20" t="n">
        <x:f>IF($C$7&lt;&gt;"Valid","n.a.",IF(C10=0,"n.a.",MAX(0,(C8/(1-F14)-C9*F12)/C10)))</x:f>
        <x:v>377.77777777777777</x:v>
      </x:c>
      <x:c r="D19" s="2"/>
      <x:c r="E19" s="2"/>
      <x:c r="F19" s="2"/>
      <x:c r="G19" s="2"/>
    </x:row>
    <x:row r="20" ht="34" customHeight="1">
      <x:c r="A20" s="2"/>
      <x:c r="B20" s="2" t="str">
        <x:v>Blended paid CPA break-even</x:v>
      </x:c>
      <x:c r="C20" s="20" t="n">
        <x:f>IF($C$7&lt;&gt;"Valid","n.a.",IF(C9=0,"n.a.",(1-F14)*(F12+C10/C9*F13)-SUM(F9:F11)/C9))</x:f>
        <x:v>57.714285714285715</x:v>
      </x:c>
      <x:c r="D20" s="2"/>
      <x:c r="E20" s="2"/>
      <x:c r="F20" s="2"/>
      <x:c r="G20" s="2"/>
    </x:row>
    <x:row r="21" ht="34" customHeight="1">
      <x:c r="A21" s="2"/>
      <x:c r="B21" s="2" t="str">
        <x:v>Remaining gross-booking places</x:v>
      </x:c>
      <x:c r="C21" s="21" t="n">
        <x:f>IF($C$7&lt;&gt;"Valid","n.a.",F15-F32)</x:f>
        <x:v>22</x:v>
      </x:c>
      <x:c r="D21" s="2"/>
      <x:c r="E21" s="2"/>
      <x:c r="F21" s="2"/>
      <x:c r="G21" s="2"/>
    </x:row>
    <x:row r="22" ht="34" customHeight="1">
      <x:c r="A22" s="2"/>
      <x:c r="B22" s="2" t="str">
        <x:v>Remainder / pilot costs</x:v>
      </x:c>
      <x:c r="C22" s="22" t="n">
        <x:f>IF($C$7&lt;&gt;"Valid","n.a.",IF(C8=0,"n.a.",C18/C8))</x:f>
        <x:v>0.17333333333333334</x:v>
      </x:c>
      <x:c r="D22" s="2"/>
      <x:c r="E22" s="14" t="str">
        <x:v>Enquiries: active</x:v>
      </x:c>
      <x:c r="F22" s="15" t="n">
        <x:f>IF(NOT(ISNUMBER($F$4)),"missing",IF(OR($F$4&lt;1,$F$4&gt;3,$F$4&lt;&gt;INT($F$4)),"missing",IF(CHOOSE($F$4,ISNUMBER(F23),ISNUMBER(F24),ISNUMBER(F25)),CHOOSE($F$4,F23,F24,F25),"missing")))</x:f>
        <x:v>200</x:v>
      </x:c>
      <x:c r="G22" s="2"/>
    </x:row>
    <x:row r="23" ht="34" customHeight="1">
      <x:c r="A23" s="2"/>
      <x:c r="B23" s="14" t="str">
        <x:v>Planning decision</x:v>
      </x:c>
      <x:c r="C23" s="28" t="str">
        <x:f>IF($C$7&lt;&gt;"Valid","n.a.",IF(C21&lt;0,"REWORK CAPACITY",IF(C18&lt;0,"REWORK ECONOMICS",IF(C8=0,"CHECK COSTS",IF(C22&lt;0.1,"LOW BUFFER","VALIDATE INPUTS")))))</x:f>
        <x:v>VALIDATE INPUTS</x:v>
      </x:c>
      <x:c r="D23" s="2"/>
      <x:c r="E23" s="2" t="str">
        <x:v>downside</x:v>
      </x:c>
      <x:c r="F23" s="11" t="n">
        <x:v>140</x:v>
      </x:c>
      <x:c r="G23" s="2"/>
    </x:row>
    <x:row r="24" ht="34" customHeight="1">
      <x:c r="A24" s="2"/>
      <x:c r="B24" s="2"/>
      <x:c r="C24" s="24"/>
      <x:c r="D24" s="2"/>
      <x:c r="E24" s="2" t="str">
        <x:v>base</x:v>
      </x:c>
      <x:c r="F24" s="11" t="n">
        <x:v>200</x:v>
      </x:c>
      <x:c r="G24" s="2"/>
    </x:row>
    <x:row r="25" ht="34" customHeight="1">
      <x:c r="A25" s="2"/>
      <x:c r="B25" s="2" t="str">
        <x:v>Paid to attendance</x:v>
      </x:c>
      <x:c r="C25" s="22" t="n">
        <x:f>IF($C$7&lt;&gt;"Valid","n.a.",IF(C9=0,"n.a.",F42/C9))</x:f>
        <x:v>0.8</x:v>
      </x:c>
      <x:c r="D25" s="2"/>
      <x:c r="E25" s="2" t="str">
        <x:v>upside</x:v>
      </x:c>
      <x:c r="F25" s="11" t="n">
        <x:v>260</x:v>
      </x:c>
      <x:c r="G25" s="2"/>
    </x:row>
    <x:row r="26" ht="34" customHeight="1">
      <x:c r="A26" s="2"/>
      <x:c r="B26" s="2" t="str">
        <x:v>Attendance to net enrolment</x:v>
      </x:c>
      <x:c r="C26" s="22" t="n">
        <x:f>IF($C$7&lt;&gt;"Valid","n.a.",IF(F42=0,"n.a.",C10/F42))</x:f>
        <x:v>0.32142857142857145</x:v>
      </x:c>
      <x:c r="D26" s="2"/>
      <x:c r="E26" s="2"/>
      <x:c r="F26" s="2"/>
      <x:c r="G26" s="2"/>
    </x:row>
    <x:row r="27" ht="26" customHeight="1">
      <x:c r="A27" s="2"/>
      <x:c r="B27" s="2"/>
      <x:c r="C27" s="2"/>
      <x:c r="D27" s="2"/>
      <x:c r="E27" s="14" t="str">
        <x:v>Qualified: active</x:v>
      </x:c>
      <x:c r="F27" s="15" t="n">
        <x:f>IF(NOT(ISNUMBER($F$4)),"missing",IF(OR($F$4&lt;1,$F$4&gt;3,$F$4&lt;&gt;INT($F$4)),"missing",IF(CHOOSE($F$4,ISNUMBER(F28),ISNUMBER(F29),ISNUMBER(F30)),CHOOSE($F$4,F28,F29,F30),"missing")))</x:f>
        <x:v>140</x:v>
      </x:c>
      <x:c r="G27" s="2"/>
    </x:row>
    <x:row r="28" ht="26" customHeight="1">
      <x:c r="A28" s="2"/>
      <x:c r="B28" s="2"/>
      <x:c r="C28" s="2"/>
      <x:c r="D28" s="2"/>
      <x:c r="E28" s="2" t="str">
        <x:v>downside</x:v>
      </x:c>
      <x:c r="F28" s="11" t="n">
        <x:v>84</x:v>
      </x:c>
      <x:c r="G28" s="2"/>
    </x:row>
    <x:row r="29" ht="26" customHeight="1">
      <x:c r="A29" s="2"/>
      <x:c r="B29" s="29" t="str">
        <x:v>Decision boundary</x:v>
      </x:c>
      <x:c r="C29" s="2"/>
      <x:c r="D29" s="2"/>
      <x:c r="E29" s="2" t="str">
        <x:v>base</x:v>
      </x:c>
      <x:c r="F29" s="11" t="n">
        <x:v>140</x:v>
      </x:c>
      <x:c r="G29" s="2"/>
    </x:row>
    <x:row r="30" ht="70" customHeight="1">
      <x:c r="A30" s="2"/>
      <x:c r="B30" s="12" t="str">
        <x:v>Positive economics are not launch approval. Demand, margins, capacity, QA and owners still need confirmation.</x:v>
      </x:c>
      <x:c r="C30" s="2"/>
      <x:c r="D30" s="2"/>
      <x:c r="E30" s="2" t="str">
        <x:v>upside</x:v>
      </x:c>
      <x:c r="F30" s="11" t="n">
        <x:v>195</x:v>
      </x:c>
      <x:c r="G30" s="2"/>
    </x:row>
    <x:row r="31" ht="26" customHeight="1">
      <x:c r="A31" s="2"/>
      <x:c r="B31" s="2"/>
      <x:c r="C31" s="2"/>
      <x:c r="D31" s="2"/>
      <x:c r="E31" s="2"/>
      <x:c r="F31" s="2"/>
      <x:c r="G31" s="2"/>
    </x:row>
    <x:row r="32" ht="26" customHeight="1">
      <x:c r="A32" s="2"/>
      <x:c r="B32" s="2"/>
      <x:c r="C32" s="2"/>
      <x:c r="D32" s="2"/>
      <x:c r="E32" s="14" t="str">
        <x:v>Gross paid bookings: active</x:v>
      </x:c>
      <x:c r="F32" s="15" t="n">
        <x:f>IF(NOT(ISNUMBER($F$4)),"missing",IF(OR($F$4&lt;1,$F$4&gt;3,$F$4&lt;&gt;INT($F$4)),"missing",IF(CHOOSE($F$4,ISNUMBER(F33),ISNUMBER(F34),ISNUMBER(F35)),CHOOSE($F$4,F33,F34,F35),"missing")))</x:f>
        <x:v>74</x:v>
      </x:c>
      <x:c r="G32" s="2"/>
    </x:row>
    <x:row r="33" ht="26" customHeight="1">
      <x:c r="A33" s="2"/>
      <x:c r="B33" s="29" t="str">
        <x:v>Cash and horizon</x:v>
      </x:c>
      <x:c r="C33" s="2"/>
      <x:c r="D33" s="2"/>
      <x:c r="E33" s="2" t="str">
        <x:v>downside</x:v>
      </x:c>
      <x:c r="F33" s="11" t="n">
        <x:v>46</x:v>
      </x:c>
      <x:c r="G33" s="2"/>
    </x:row>
    <x:row r="34" ht="70" customHeight="1">
      <x:c r="A34" s="2"/>
      <x:c r="B34" s="12" t="str">
        <x:v>Budget S$6,000 funding; contribution is first 90 days per enrolment, not cash in month one. Fixed overhead excluded.</x:v>
      </x:c>
      <x:c r="C34" s="2"/>
      <x:c r="D34" s="2"/>
      <x:c r="E34" s="2" t="str">
        <x:v>base</x:v>
      </x:c>
      <x:c r="F34" s="11" t="n">
        <x:v>74</x:v>
      </x:c>
      <x:c r="G34" s="2"/>
    </x:row>
    <x:row r="35" ht="26" customHeight="1">
      <x:c r="A35" s="2"/>
      <x:c r="B35" s="2"/>
      <x:c r="C35" s="2"/>
      <x:c r="D35" s="2"/>
      <x:c r="E35" s="2" t="str">
        <x:v>upside</x:v>
      </x:c>
      <x:c r="F35" s="11" t="n">
        <x:v>96</x:v>
      </x:c>
      <x:c r="G35" s="2"/>
    </x:row>
    <x:row r="36" ht="26" customHeight="1">
      <x:c r="A36" s="2"/>
      <x:c r="B36" s="2"/>
      <x:c r="C36" s="2"/>
      <x:c r="D36" s="2"/>
      <x:c r="E36" s="2"/>
      <x:c r="F36" s="2"/>
      <x:c r="G36" s="2"/>
    </x:row>
    <x:row r="37" ht="26" customHeight="1">
      <x:c r="A37" s="2"/>
      <x:c r="B37" s="29" t="str">
        <x:v>Gross and net</x:v>
      </x:c>
      <x:c r="C37" s="2"/>
      <x:c r="D37" s="2"/>
      <x:c r="E37" s="14" t="str">
        <x:v>Booking refunds: active</x:v>
      </x:c>
      <x:c r="F37" s="15" t="n">
        <x:f>IF(NOT(ISNUMBER($F$4)),"missing",IF(OR($F$4&lt;1,$F$4&gt;3,$F$4&lt;&gt;INT($F$4)),"missing",IF(CHOOSE($F$4,ISNUMBER(F38),ISNUMBER(F39),ISNUMBER(F40)),CHOOSE($F$4,F38,F39,F40),"missing")))</x:f>
        <x:v>4</x:v>
      </x:c>
      <x:c r="G37" s="2"/>
    </x:row>
    <x:row r="38" ht="70" customHeight="1">
      <x:c r="A38" s="2"/>
      <x:c r="B38" s="12" t="str">
        <x:v>Capacity uses gross bookings. Net paid and net enrolments deduct refunds; do not treat unpaid orders as paid.</x:v>
      </x:c>
      <x:c r="C38" s="2"/>
      <x:c r="D38" s="2"/>
      <x:c r="E38" s="2" t="str">
        <x:v>downside</x:v>
      </x:c>
      <x:c r="F38" s="11" t="n">
        <x:v>4</x:v>
      </x:c>
      <x:c r="G38" s="2"/>
    </x:row>
    <x:row r="39" ht="26" customHeight="1">
      <x:c r="A39" s="2"/>
      <x:c r="B39" s="2"/>
      <x:c r="C39" s="2"/>
      <x:c r="D39" s="2"/>
      <x:c r="E39" s="2" t="str">
        <x:v>base</x:v>
      </x:c>
      <x:c r="F39" s="11" t="n">
        <x:v>4</x:v>
      </x:c>
      <x:c r="G39" s="2"/>
    </x:row>
    <x:row r="40" ht="26" customHeight="1">
      <x:c r="A40" s="2"/>
      <x:c r="B40" s="2"/>
      <x:c r="C40" s="2"/>
      <x:c r="D40" s="2"/>
      <x:c r="E40" s="2" t="str">
        <x:v>upside</x:v>
      </x:c>
      <x:c r="F40" s="11" t="n">
        <x:v>5</x:v>
      </x:c>
      <x:c r="G40" s="2"/>
    </x:row>
    <x:row r="41" ht="26" customHeight="1">
      <x:c r="A41" s="2"/>
      <x:c r="B41" s="29" t="str">
        <x:v>Using the model</x:v>
      </x:c>
      <x:c r="C41" s="2"/>
      <x:c r="D41" s="2"/>
      <x:c r="E41" s="2"/>
      <x:c r="F41" s="2"/>
      <x:c r="G41" s="2"/>
    </x:row>
    <x:row r="42" ht="70" customHeight="1">
      <x:c r="A42" s="2"/>
      <x:c r="B42" s="12" t="str">
        <x:v>Change amber cells or choose case 1/2/3. One formula build recalculates. PDF scenario values are a dated snapshot.</x:v>
      </x:c>
      <x:c r="C42" s="2"/>
      <x:c r="D42" s="2"/>
      <x:c r="E42" s="14" t="str">
        <x:v>Attended: active</x:v>
      </x:c>
      <x:c r="F42" s="15" t="n">
        <x:f>IF(NOT(ISNUMBER($F$4)),"missing",IF(OR($F$4&lt;1,$F$4&gt;3,$F$4&lt;&gt;INT($F$4)),"missing",IF(CHOOSE($F$4,ISNUMBER(F43),ISNUMBER(F44),ISNUMBER(F45)),CHOOSE($F$4,F43,F44,F45),"missing")))</x:f>
        <x:v>56</x:v>
      </x:c>
      <x:c r="G42" s="2"/>
    </x:row>
    <x:row r="43" ht="26" customHeight="1">
      <x:c r="A43" s="2"/>
      <x:c r="B43" s="2"/>
      <x:c r="C43" s="2"/>
      <x:c r="D43" s="2"/>
      <x:c r="E43" s="2" t="str">
        <x:v>downside</x:v>
      </x:c>
      <x:c r="F43" s="11" t="n">
        <x:v>32</x:v>
      </x:c>
      <x:c r="G43" s="2"/>
    </x:row>
    <x:row r="44" ht="26" customHeight="1">
      <x:c r="A44" s="2"/>
      <x:c r="B44" s="2"/>
      <x:c r="C44" s="2"/>
      <x:c r="D44" s="2"/>
      <x:c r="E44" s="2" t="str">
        <x:v>base</x:v>
      </x:c>
      <x:c r="F44" s="11" t="n">
        <x:v>56</x:v>
      </x:c>
      <x:c r="G44" s="2"/>
    </x:row>
    <x:row r="45" ht="26" customHeight="1">
      <x:c r="A45" s="2"/>
      <x:c r="B45" s="29" t="str">
        <x:v>Currency</x:v>
      </x:c>
      <x:c r="C45" s="2"/>
      <x:c r="D45" s="2"/>
      <x:c r="E45" s="2" t="str">
        <x:v>upside</x:v>
      </x:c>
      <x:c r="F45" s="11" t="n">
        <x:v>76</x:v>
      </x:c>
      <x:c r="G45" s="2"/>
    </x:row>
    <x:row r="46" ht="70" customHeight="1">
      <x:c r="A46" s="2"/>
      <x:c r="B46" s="12" t="str">
        <x:v>New plan: SGD. Candidate-reported historical USD case remains separate; no FX conversion or automatic forecast calibration.</x:v>
      </x:c>
      <x:c r="C46" s="2"/>
      <x:c r="D46" s="2"/>
      <x:c r="E46" s="2"/>
      <x:c r="F46" s="2"/>
      <x:c r="G46" s="2"/>
    </x:row>
    <x:row r="47" ht="26" customHeight="1">
      <x:c r="A47" s="2"/>
      <x:c r="B47" s="2"/>
      <x:c r="C47" s="2"/>
      <x:c r="D47" s="2"/>
      <x:c r="E47" s="14" t="str">
        <x:v>Gross enrolments: active</x:v>
      </x:c>
      <x:c r="F47" s="15" t="n">
        <x:f>IF(NOT(ISNUMBER($F$4)),"missing",IF(OR($F$4&lt;1,$F$4&gt;3,$F$4&lt;&gt;INT($F$4)),"missing",IF(CHOOSE($F$4,ISNUMBER(F48),ISNUMBER(F49),ISNUMBER(F50)),CHOOSE($F$4,F48,F49,F50),"missing")))</x:f>
        <x:v>19</x:v>
      </x:c>
      <x:c r="G47" s="2"/>
    </x:row>
    <x:row r="48" ht="26" customHeight="1">
      <x:c r="A48" s="2"/>
      <x:c r="B48" s="2"/>
      <x:c r="C48" s="2"/>
      <x:c r="D48" s="2"/>
      <x:c r="E48" s="2" t="str">
        <x:v>downside</x:v>
      </x:c>
      <x:c r="F48" s="11" t="n">
        <x:v>9</x:v>
      </x:c>
      <x:c r="G48" s="2"/>
    </x:row>
    <x:row r="49" ht="26" customHeight="1">
      <x:c r="A49" s="2"/>
      <x:c r="B49" s="2"/>
      <x:c r="C49" s="2"/>
      <x:c r="D49" s="2"/>
      <x:c r="E49" s="2" t="str">
        <x:v>base</x:v>
      </x:c>
      <x:c r="F49" s="11" t="n">
        <x:v>19</x:v>
      </x:c>
      <x:c r="G49" s="2"/>
    </x:row>
    <x:row r="50" ht="26" customHeight="1">
      <x:c r="A50" s="2"/>
      <x:c r="B50" s="2"/>
      <x:c r="C50" s="2"/>
      <x:c r="D50" s="2"/>
      <x:c r="E50" s="2" t="str">
        <x:v>upside</x:v>
      </x:c>
      <x:c r="F50" s="11" t="n">
        <x:v>28</x:v>
      </x:c>
      <x:c r="G50" s="2"/>
    </x:row>
    <x:row r="51" ht="26" customHeight="1">
      <x:c r="A51" s="2"/>
      <x:c r="B51" s="2"/>
      <x:c r="C51" s="2"/>
      <x:c r="D51" s="2"/>
      <x:c r="E51" s="2"/>
      <x:c r="F51" s="2"/>
      <x:c r="G51" s="2"/>
    </x:row>
    <x:row r="52" ht="26" customHeight="1">
      <x:c r="A52" s="2"/>
      <x:c r="B52" s="2"/>
      <x:c r="C52" s="2"/>
      <x:c r="D52" s="2"/>
      <x:c r="E52" s="14" t="str">
        <x:v>Enrolment refunds: active</x:v>
      </x:c>
      <x:c r="F52" s="15" t="n">
        <x:f>IF(NOT(ISNUMBER($F$4)),"missing",IF(OR($F$4&lt;1,$F$4&gt;3,$F$4&lt;&gt;INT($F$4)),"missing",IF(CHOOSE($F$4,ISNUMBER(F53),ISNUMBER(F54),ISNUMBER(F55)),CHOOSE($F$4,F53,F54,F55),"missing")))</x:f>
        <x:v>1</x:v>
      </x:c>
      <x:c r="G52" s="2"/>
    </x:row>
    <x:row r="53" ht="26" customHeight="1">
      <x:c r="A53" s="2"/>
      <x:c r="B53" s="2"/>
      <x:c r="C53" s="2"/>
      <x:c r="D53" s="2"/>
      <x:c r="E53" s="2" t="str">
        <x:v>downside</x:v>
      </x:c>
      <x:c r="F53" s="11" t="n">
        <x:v>1</x:v>
      </x:c>
      <x:c r="G53" s="2"/>
    </x:row>
    <x:row r="54" ht="26" customHeight="1">
      <x:c r="A54" s="2"/>
      <x:c r="B54" s="2"/>
      <x:c r="C54" s="2"/>
      <x:c r="D54" s="2"/>
      <x:c r="E54" s="2" t="str">
        <x:v>base</x:v>
      </x:c>
      <x:c r="F54" s="11" t="n">
        <x:v>1</x:v>
      </x:c>
      <x:c r="G54" s="2"/>
    </x:row>
    <x:row r="55" ht="26" customHeight="1">
      <x:c r="A55" s="2"/>
      <x:c r="B55" s="2"/>
      <x:c r="C55" s="2"/>
      <x:c r="D55" s="2"/>
      <x:c r="E55" s="2" t="str">
        <x:v>upside</x:v>
      </x:c>
      <x:c r="F55" s="11" t="n">
        <x:v>1</x:v>
      </x:c>
      <x:c r="G55" s="2"/>
    </x:row>
    <x:row r="56" ht="26" customHeight="1">
      <x:c r="A56" s="2"/>
      <x:c r="B56" s="2"/>
      <x:c r="C56" s="2"/>
      <x:c r="D56" s="2"/>
      <x:c r="E56" s="2"/>
      <x:c r="F56" s="2"/>
      <x:c r="G56" s="2"/>
    </x:row>
    <x:row r="57" ht="26" customHeight="1">
      <x:c r="A57" s="2"/>
      <x:c r="B57" s="2"/>
      <x:c r="C57" s="2"/>
      <x:c r="D57" s="2"/>
      <x:c r="E57" s="2"/>
      <x:c r="F57" s="2"/>
      <x:c r="G57" s="2"/>
    </x:row>
    <x:row r="58" ht="26" customHeight="1">
      <x:c r="A58" s="2"/>
      <x:c r="B58" s="2"/>
      <x:c r="C58" s="2"/>
      <x:c r="D58" s="2"/>
      <x:c r="E58" s="2" t="str">
        <x:v>Sources / basis, 26 Oct 2026</x:v>
      </x:c>
      <x:c r="F58" s="2"/>
      <x:c r="G58" s="2"/>
    </x:row>
    <x:row r="59" ht="26" customHeight="1">
      <x:c r="A59" s="2"/>
      <x:c r="B59" s="2"/>
      <x:c r="C59" s="2"/>
      <x:c r="D59" s="2"/>
      <x:c r="E59" s="2" t="str">
        <x:v>All budget, funnel and margin inputs are proposed assumptions.</x:v>
      </x:c>
      <x:c r="F59" s="2"/>
      <x:c r="G59" s="2"/>
    </x:row>
    <x:row r="60" ht="26" customHeight="1">
      <x:c r="A60" s="2"/>
      <x:c r="B60" s="2"/>
      <x:c r="C60" s="2"/>
      <x:c r="D60" s="2"/>
      <x:c r="E60" s="2" t="str">
        <x:v>Official RDA offer: https://www.metarobotics.sg/rda.html</x:v>
      </x:c>
      <x:c r="F60" s="2"/>
      <x:c r="G60" s="2"/>
    </x:row>
    <x:row r="61" ht="26" customHeight="1">
      <x:c r="A61" s="2"/>
      <x:c r="B61" s="2"/>
      <x:c r="C61" s="2"/>
      <x:c r="D61" s="2"/>
      <x:c r="E61" s="2" t="str">
        <x:v>Course contribution 450 is not published tuition.</x:v>
      </x:c>
      <x:c r="F61" s="2"/>
      <x:c r="G61" s="2"/>
    </x:row>
    <x:row r="62" ht="26" customHeight="1">
      <x:c r="A62" s="2"/>
      <x:c r="B62" s="2"/>
      <x:c r="C62" s="2"/>
      <x:c r="D62" s="2"/>
      <x:c r="E62" s="2"/>
      <x:c r="F62" s="2"/>
      <x:c r="G62" s="2"/>
    </x:row>
    <x:row r="63" ht="26" customHeight="1">
      <x:c r="A63" s="2"/>
      <x:c r="B63" s="2"/>
      <x:c r="C63" s="2"/>
      <x:c r="D63" s="2"/>
      <x:c r="E63" s="2"/>
      <x:c r="F63" s="2"/>
      <x:c r="G63" s="2"/>
    </x:row>
    <x:row r="64" ht="26" customHeight="1">
      <x:c r="A64" s="2"/>
      <x:c r="B64" s="2"/>
      <x:c r="C64" s="2"/>
      <x:c r="D64" s="2"/>
      <x:c r="E64" s="2"/>
      <x:c r="F64" s="2"/>
      <x:c r="G64" s="2"/>
    </x:row>
  </x:sheetData>
  <x:conditionalFormatting sqref="C16:C16">
    <x:cfRule type="cellIs" dxfId="0" priority="1" operator="lessThan">
      <x:formula>0</x:formula>
    </x:cfRule>
  </x:conditionalFormatting>
  <x:conditionalFormatting sqref="C18:C18">
    <x:cfRule type="cellIs" dxfId="1" priority="2" operator="lessThan">
      <x:formula>0</x:formula>
    </x:cfRule>
  </x:conditionalFormatting>
  <x:conditionalFormatting sqref="C21:C21">
    <x:cfRule type="cellIs" dxfId="2" priority="3" operator="lessThan">
      <x:formula>0</x:formula>
    </x:cfRule>
  </x:conditionalFormatting>
  <x:dataValidations count="12">
    <x:dataValidation type="whole" operator="between" sqref="F4">
      <x:formula1>1</x:formula1>
      <x:formula2>3</x:formula2>
    </x:dataValidation>
    <x:dataValidation type="decimal" operator="greaterThanOrEqual" sqref="F8:F13">
      <x:formula1>0</x:formula1>
    </x:dataValidation>
    <x:dataValidation type="decimal" operator="between" sqref="F14">
      <x:formula1>0</x:formula1>
      <x:formula2>0.99</x:formula2>
    </x:dataValidation>
    <x:dataValidation type="whole" operator="greaterThanOrEqual" sqref="F15">
      <x:formula1>0</x:formula1>
    </x:dataValidation>
    <x:dataValidation type="decimal" operator="between" sqref="F16:F18">
      <x:formula1>0</x:formula1>
      <x:formula2>1</x:formula2>
    </x:dataValidation>
    <x:dataValidation type="whole" operator="greaterThanOrEqual" sqref="F23:F25">
      <x:formula1>0</x:formula1>
    </x:dataValidation>
    <x:dataValidation type="whole" operator="greaterThanOrEqual" sqref="F28:F30">
      <x:formula1>0</x:formula1>
    </x:dataValidation>
    <x:dataValidation type="whole" operator="greaterThanOrEqual" sqref="F33:F35">
      <x:formula1>0</x:formula1>
    </x:dataValidation>
    <x:dataValidation type="whole" operator="greaterThanOrEqual" sqref="F38:F40">
      <x:formula1>0</x:formula1>
    </x:dataValidation>
    <x:dataValidation type="whole" operator="greaterThanOrEqual" sqref="F43:F45">
      <x:formula1>0</x:formula1>
    </x:dataValidation>
    <x:dataValidation type="whole" operator="greaterThanOrEqual" sqref="F48:F50">
      <x:formula1>0</x:formula1>
    </x:dataValidation>
    <x:dataValidation type="whole" operator="greaterThanOrEqual" sqref="F53:F55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.25" hidden="0" customWidth="1"/>
    <x:col min="2" max="2" width="8.75" hidden="0" customWidth="1"/>
    <x:col min="3" max="3" width="15.630000114440918" hidden="0" customWidth="1"/>
    <x:col min="4" max="4" width="53.75" hidden="0" customWidth="1"/>
    <x:col min="5" max="5" width="35" hidden="0" customWidth="1"/>
    <x:col min="6" max="6" width="52.5" hidden="0" customWidth="1"/>
    <x:col min="7" max="7" width="16.2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</x:row>
    <x:row r="2" ht="26" customHeight="1">
      <x:c r="A2" s="2"/>
      <x:c r="B2" s="3" t="str">
        <x:v>Delivery calendar (Singapore time)</x:v>
      </x:c>
      <x:c r="C2" s="2"/>
      <x:c r="D2" s="2"/>
      <x:c r="E2" s="2"/>
      <x:c r="F2" s="2"/>
      <x:c r="G2" s="2"/>
    </x:row>
    <x:row r="3" ht="26" customHeight="1">
      <x:c r="A3" s="2"/>
      <x:c r="B3" s="2"/>
      <x:c r="C3" s="2"/>
      <x:c r="D3" s="2"/>
      <x:c r="E3" s="2"/>
      <x:c r="F3" s="2"/>
      <x:c r="G3" s="2"/>
    </x:row>
    <x:row r="4" ht="26" customHeight="1">
      <x:c r="A4" s="2"/>
      <x:c r="B4" s="2" t="str">
        <x:v>Case</x:v>
      </x:c>
      <x:c r="C4" s="4" t="str">
        <x:f>'Economics'!C4</x:f>
        <x:v>Base</x:v>
      </x:c>
      <x:c r="D4" s="2" t="str">
        <x:v>80 implementation hours +12 paid follow-up hours; roles are proposed.</x:v>
      </x:c>
      <x:c r="E4" s="2"/>
      <x:c r="F4" s="2"/>
      <x:c r="G4" s="2"/>
    </x:row>
    <x:row r="5" ht="26" customHeight="1">
      <x:c r="A5" s="2"/>
      <x:c r="B5" s="2"/>
      <x:c r="C5" s="2"/>
      <x:c r="D5" s="2"/>
      <x:c r="E5" s="2"/>
      <x:c r="F5" s="2"/>
      <x:c r="G5" s="2"/>
    </x:row>
    <x:row r="6" ht="26" customHeight="1">
      <x:c r="A6" s="2"/>
      <x:c r="B6" s="2"/>
      <x:c r="C6" s="2"/>
      <x:c r="D6" s="2"/>
      <x:c r="E6" s="2"/>
      <x:c r="F6" s="2"/>
      <x:c r="G6" s="2"/>
    </x:row>
    <x:row r="7" ht="29" customHeight="1">
      <x:c r="A7" s="2"/>
      <x:c r="B7" s="8" t="str">
        <x:v>ID</x:v>
      </x:c>
      <x:c r="C7" s="8" t="str">
        <x:v>Planned date</x:v>
      </x:c>
      <x:c r="D7" s="8" t="str">
        <x:v>Deliverable</x:v>
      </x:c>
      <x:c r="E7" s="8" t="str">
        <x:v>Owner</x:v>
      </x:c>
      <x:c r="F7" s="8" t="str">
        <x:v>Acceptance</x:v>
      </x:c>
      <x:c r="G7" s="8" t="str">
        <x:v>Status</x:v>
      </x:c>
    </x:row>
    <x:row r="8" ht="66" customHeight="1">
      <x:c r="A8" s="2"/>
      <x:c r="B8" s="2" t="str">
        <x:v>D01</x:v>
      </x:c>
      <x:c r="C8" s="30" t="d">
        <x:v>2026-11-02T00:00:00.000Z</x:v>
      </x:c>
      <x:c r="D8" s="12" t="str">
        <x:v>Agree scope, data owners, offer and budget</x:v>
      </x:c>
      <x:c r="E8" s="12" t="str">
        <x:v>Long + Meta Robotics manager</x:v>
      </x:c>
      <x:c r="F8" s="12" t="str">
        <x:v>Document scope and approval owner</x:v>
      </x:c>
      <x:c r="G8" s="6" t="str">
        <x:v>Planned</x:v>
      </x:c>
    </x:row>
    <x:row r="9" ht="66" customHeight="1">
      <x:c r="A9" s="2"/>
      <x:c r="B9" s="2" t="str">
        <x:v>D02</x:v>
      </x:c>
      <x:c r="C9" s="30" t="d">
        <x:v>2026-11-03T00:00:00.000Z</x:v>
      </x:c>
      <x:c r="D9" s="12" t="str">
        <x:v>Baseline, margins, 96-place capacity and outcome definitions</x:v>
      </x:c>
      <x:c r="E9" s="12" t="str">
        <x:v>Long + centre + finance</x:v>
      </x:c>
      <x:c r="F9" s="12" t="str">
        <x:v>Each input has a source or an assumption label</x:v>
      </x:c>
      <x:c r="G9" s="6" t="str">
        <x:v>Planned</x:v>
      </x:c>
    </x:row>
    <x:row r="10" ht="66" customHeight="1">
      <x:c r="A10" s="2"/>
      <x:c r="B10" s="2" t="str">
        <x:v>D03</x:v>
      </x:c>
      <x:c r="C10" s="30" t="d">
        <x:v>2026-11-04T00:00:00.000Z</x:v>
      </x:c>
      <x:c r="D10" s="12" t="str">
        <x:v>Inventory direct tags; draft GTM and CRM mapping</x:v>
      </x:c>
      <x:c r="E10" s="12" t="str">
        <x:v>Long + technical owner</x:v>
      </x:c>
      <x:c r="F10" s="12" t="str">
        <x:v>No duplicate event producers</x:v>
      </x:c>
      <x:c r="G10" s="6" t="str">
        <x:v>Planned</x:v>
      </x:c>
    </x:row>
    <x:row r="11" ht="66" customHeight="1">
      <x:c r="A11" s="2"/>
      <x:c r="B11" s="2" t="str">
        <x:v>D04</x:v>
      </x:c>
      <x:c r="C11" s="30" t="d">
        <x:v>2026-11-05T00:00:00.000Z</x:v>
      </x:c>
      <x:c r="D11" s="12" t="str">
        <x:v>Preview and first 12 QA scenarios</x:v>
      </x:c>
      <x:c r="E11" s="12" t="str">
        <x:v>Long + technical owner</x:v>
      </x:c>
      <x:c r="F11" s="12" t="str">
        <x:v>Logs include event_id, consent and CRM outcome</x:v>
      </x:c>
      <x:c r="G11" s="6" t="str">
        <x:v>Planned</x:v>
      </x:c>
    </x:row>
    <x:row r="12" ht="66" customHeight="1">
      <x:c r="A12" s="2"/>
      <x:c r="B12" s="2" t="str">
        <x:v>D05</x:v>
      </x:c>
      <x:c r="C12" s="30" t="d">
        <x:v>2026-11-06T00:00:00.000Z</x:v>
      </x:c>
      <x:c r="D12" s="12" t="str">
        <x:v>Remaining 12 QA scenarios; proposed publish review at 20:00 SGT</x:v>
      </x:c>
      <x:c r="E12" s="12" t="str">
        <x:v>Long + authorised publisher</x:v>
      </x:c>
      <x:c r="F12" s="12" t="str">
        <x:v>24/24 pass with evidence; rollback version retained</x:v>
      </x:c>
      <x:c r="G12" s="6" t="str">
        <x:v>Planned</x:v>
      </x:c>
    </x:row>
    <x:row r="13" ht="66" customHeight="1">
      <x:c r="A13" s="2"/>
      <x:c r="B13" s="2" t="str">
        <x:v>D06</x:v>
      </x:c>
      <x:c r="C13" s="30" t="d">
        <x:v>2026-11-09T00:00:00.000Z</x:v>
      </x:c>
      <x:c r="D13" s="12" t="str">
        <x:v>08:30 SGT preflight; release week-one media, cap S$900</x:v>
      </x:c>
      <x:c r="E13" s="12" t="str">
        <x:v>Long</x:v>
      </x:c>
      <x:c r="F13" s="12" t="str">
        <x:v>All launch prerequisites approved</x:v>
      </x:c>
      <x:c r="G13" s="6" t="str">
        <x:v>Planned</x:v>
      </x:c>
    </x:row>
    <x:row r="14" ht="66" customHeight="1">
      <x:c r="A14" s="2"/>
      <x:c r="B14" s="2" t="str">
        <x:v>D07</x:v>
      </x:c>
      <x:c r="C14" s="30" t="d">
        <x:v>2026-11-13T00:00:00.000Z</x:v>
      </x:c>
      <x:c r="D14" s="12" t="str">
        <x:v>Review quality and change one test variable</x:v>
      </x:c>
      <x:c r="E14" s="12" t="str">
        <x:v>Long + sales</x:v>
      </x:c>
      <x:c r="F14" s="12" t="str">
        <x:v>Record costs, outcome maturity and decision</x:v>
      </x:c>
      <x:c r="G14" s="6" t="str">
        <x:v>Planned</x:v>
      </x:c>
    </x:row>
    <x:row r="15" ht="66" customHeight="1">
      <x:c r="A15" s="2"/>
      <x:c r="B15" s="2" t="str">
        <x:v>D08</x:v>
      </x:c>
      <x:c r="C15" s="30" t="d">
        <x:v>2026-11-16T00:00:00.000Z</x:v>
      </x:c>
      <x:c r="D15" s="12" t="str">
        <x:v>Release week-two media, cap S$1,000</x:v>
      </x:c>
      <x:c r="E15" s="12" t="str">
        <x:v>Long</x:v>
      </x:c>
      <x:c r="F15" s="12" t="str">
        <x:v>No unresolved measurement or capacity blocker</x:v>
      </x:c>
      <x:c r="G15" s="6" t="str">
        <x:v>Planned</x:v>
      </x:c>
    </x:row>
    <x:row r="16" ht="66" customHeight="1">
      <x:c r="A16" s="2"/>
      <x:c r="B16" s="2" t="str">
        <x:v>D09</x:v>
      </x:c>
      <x:c r="C16" s="30" t="d">
        <x:v>2026-11-23T00:00:00.000Z</x:v>
      </x:c>
      <x:c r="D16" s="12" t="str">
        <x:v>Release week-three media, cap S$1,100</x:v>
      </x:c>
      <x:c r="E16" s="12" t="str">
        <x:v>Long</x:v>
      </x:c>
      <x:c r="F16" s="12" t="str">
        <x:v>Total approved media remains within S$3,000</x:v>
      </x:c>
      <x:c r="G16" s="6" t="str">
        <x:v>Planned</x:v>
      </x:c>
    </x:row>
    <x:row r="17" ht="66" customHeight="1">
      <x:c r="A17" s="2"/>
      <x:c r="B17" s="2" t="str">
        <x:v>D10</x:v>
      </x:c>
      <x:c r="C17" s="30" t="d">
        <x:v>2026-11-27T00:00:00.000Z</x:v>
      </x:c>
      <x:c r="D17" s="12" t="str">
        <x:v>Initial handover and scheduled stop for 29 November</x:v>
      </x:c>
      <x:c r="E17" s="12" t="str">
        <x:v>Long + centre</x:v>
      </x:c>
      <x:c r="F17" s="12" t="str">
        <x:v>Immature outcomes explicitly remain pending</x:v>
      </x:c>
      <x:c r="G17" s="6" t="str">
        <x:v>Planned</x:v>
      </x:c>
    </x:row>
    <x:row r="18" ht="66" customHeight="1">
      <x:c r="A18" s="2"/>
      <x:c r="B18" s="2" t="str">
        <x:v>D11</x:v>
      </x:c>
      <x:c r="C18" s="30" t="d">
        <x:v>2026-11-29T00:00:00.000Z</x:v>
      </x:c>
      <x:c r="D18" s="12" t="str">
        <x:v>Scheduled acquisition stop at 23:59 SGT</x:v>
      </x:c>
      <x:c r="E18" s="12" t="str">
        <x:v>Account schedule + centre duty owner</x:v>
      </x:c>
      <x:c r="F18" s="12" t="str">
        <x:v>No automatic media extension</x:v>
      </x:c>
      <x:c r="G18" s="6" t="str">
        <x:v>Planned</x:v>
      </x:c>
    </x:row>
    <x:row r="19" ht="66" customHeight="1">
      <x:c r="A19" s="2"/>
      <x:c r="B19" s="2" t="str">
        <x:v>D12</x:v>
      </x:c>
      <x:c r="C19" s="30" t="d">
        <x:v>2026-11-30T00:00:00.000Z</x:v>
      </x:c>
      <x:c r="D19" s="12" t="str">
        <x:v>Reconcile spend and sources; four follow-up hours</x:v>
      </x:c>
      <x:c r="E19" s="12" t="str">
        <x:v>Long + finance</x:v>
      </x:c>
      <x:c r="F19" s="12" t="str">
        <x:v>Freeze spend snapshot and unmatched list</x:v>
      </x:c>
      <x:c r="G19" s="6" t="str">
        <x:v>Planned</x:v>
      </x:c>
    </x:row>
    <x:row r="20" ht="66" customHeight="1">
      <x:c r="A20" s="2"/>
      <x:c r="B20" s="2" t="str">
        <x:v>D13</x:v>
      </x:c>
      <x:c r="C20" s="30" t="d">
        <x:v>2026-12-29T00:00:00.000Z</x:v>
      </x:c>
      <x:c r="D20" s="12" t="str">
        <x:v>Close cohort acquired through 29 November; four follow-up hours</x:v>
      </x:c>
      <x:c r="E20" s="12" t="str">
        <x:v>Long + sales/finance</x:v>
      </x:c>
      <x:c r="F20" s="12" t="str">
        <x:v>Net paid/enrolled deduct refunds; late outcomes separate</x:v>
      </x:c>
      <x:c r="G20" s="6" t="str">
        <x:v>Planned</x:v>
      </x:c>
    </x:row>
    <x:row r="21" ht="66" customHeight="1">
      <x:c r="A21" s="2"/>
      <x:c r="B21" s="2" t="str">
        <x:v>D14</x:v>
      </x:c>
      <x:c r="C21" s="30" t="d">
        <x:v>2027-03-29T00:00:00.000Z</x:v>
      </x:c>
      <x:c r="D21" s="12" t="str">
        <x:v>Close latest 90-day contribution window; four follow-up hours</x:v>
      </x:c>
      <x:c r="E21" s="12" t="str">
        <x:v>Long + finance</x:v>
      </x:c>
      <x:c r="F21" s="12" t="str">
        <x:v>Use contribution, not month-one revenue as profit</x:v>
      </x:c>
      <x:c r="G21" s="6" t="str">
        <x:v>Planned</x:v>
      </x:c>
    </x:row>
    <x:row r="22" ht="26" customHeight="1">
      <x:c r="A22" s="2"/>
      <x:c r="B22" s="2"/>
      <x:c r="C22" s="2"/>
      <x:c r="D22" s="2"/>
      <x:c r="E22" s="2"/>
      <x:c r="F22" s="2"/>
      <x:c r="G22" s="2"/>
    </x:row>
    <x:row r="23" ht="26" customHeight="1">
      <x:c r="A23" s="2"/>
      <x:c r="B23" s="2"/>
      <x:c r="C23" s="2"/>
      <x:c r="D23" s="2"/>
      <x:c r="E23" s="2"/>
      <x:c r="F23" s="2"/>
      <x:c r="G23" s="2"/>
    </x:row>
    <x:row r="24" ht="26" customHeight="1">
      <x:c r="A24" s="2"/>
      <x:c r="B24" s="2"/>
      <x:c r="C24" s="2"/>
      <x:c r="D24" s="2"/>
      <x:c r="E24" s="2"/>
      <x:c r="F24" s="2"/>
      <x:c r="G24" s="2"/>
    </x:row>
    <x:row r="25" ht="26" customHeight="1">
      <x:c r="A25" s="2"/>
      <x:c r="B25" s="2"/>
      <x:c r="C25" s="2"/>
      <x:c r="D25" s="2"/>
      <x:c r="E25" s="2"/>
      <x:c r="F25" s="2"/>
      <x:c r="G25" s="2"/>
    </x:row>
  </x:sheetData>
  <x:dataValidations count="1">
    <x:dataValidation type="list" sqref="G8:G21">
      <x:formula1>"Planned,In progress,Blocked,Done"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.25" hidden="0" customWidth="1"/>
    <x:col min="2" max="2" width="8.130000114440918" hidden="0" customWidth="1"/>
    <x:col min="3" max="3" width="23.75" hidden="0" customWidth="1"/>
    <x:col min="4" max="4" width="23.1299991607666" hidden="0" customWidth="1"/>
    <x:col min="5" max="5" width="46.25" hidden="0" customWidth="1"/>
    <x:col min="6" max="6" width="15.630000114440918" hidden="0" customWidth="1"/>
    <x:col min="7" max="7" width="32.5" hidden="0" customWidth="1"/>
    <x:col min="8" max="8" width="18.1299991607666" hidden="0" customWidth="1"/>
    <x:col min="9" max="9" width="17.5" hidden="0" customWidth="1"/>
    <x:col min="10" max="10" width="18.7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2"/>
      <x:c r="B2" s="3" t="str">
        <x:v>Tracking acceptance (24 planned tests)</x:v>
      </x:c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 t="str">
        <x:v>Complete</x:v>
      </x:c>
      <x:c r="C4" s="2" t="n">
        <x:f>COUNTIFS(J8:J31,"Complete")</x:f>
        <x:v>0</x:v>
      </x:c>
      <x:c r="D4" s="2" t="str">
        <x:v>Not run or not evidenced</x:v>
      </x:c>
      <x:c r="E4" s="2" t="n">
        <x:f>24-C4</x:f>
        <x:v>24</x:v>
      </x:c>
      <x:c r="F4" s="2"/>
      <x:c r="G4" s="2" t="str">
        <x:v>Launch needs 24/24 with evidence, plus sign-off.</x:v>
      </x:c>
      <x:c r="H4" s="2"/>
      <x:c r="I4" s="2"/>
      <x:c r="J4" s="2"/>
    </x:row>
    <x:row r="5" ht="26" customHeight="1">
      <x:c r="A5" s="2"/>
      <x:c r="B5" s="2" t="str">
        <x:v>Plan only: enter real evidence, time and reviewer after execution.</x:v>
      </x:c>
      <x:c r="C5" s="2"/>
      <x:c r="D5" s="2"/>
      <x:c r="E5" s="2"/>
      <x:c r="F5" s="2"/>
      <x:c r="G5" s="2"/>
      <x:c r="H5" s="2"/>
      <x:c r="I5" s="2"/>
      <x:c r="J5" s="2"/>
    </x:row>
    <x:row r="6" ht="26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29" customHeight="1">
      <x:c r="A7" s="2"/>
      <x:c r="B7" s="8" t="str">
        <x:v>Test ID</x:v>
      </x:c>
      <x:c r="C7" s="8" t="str">
        <x:v>Journey</x:v>
      </x:c>
      <x:c r="D7" s="8" t="str">
        <x:v>Scenario / steps</x:v>
      </x:c>
      <x:c r="E7" s="8" t="str">
        <x:v>Expected result</x:v>
      </x:c>
      <x:c r="F7" s="8" t="str">
        <x:v>Result</x:v>
      </x:c>
      <x:c r="G7" s="8" t="str">
        <x:v>Actual / proof link</x:v>
      </x:c>
      <x:c r="H7" s="8" t="str">
        <x:v>Checked at</x:v>
      </x:c>
      <x:c r="I7" s="8" t="str">
        <x:v>Reviewer</x:v>
      </x:c>
      <x:c r="J7" s="8" t="str">
        <x:v>Evidence status</x:v>
      </x:c>
    </x:row>
    <x:row r="8" ht="74" customHeight="1">
      <x:c r="A8" s="2"/>
      <x:c r="B8" s="2" t="str">
        <x:v>Q01</x:v>
      </x:c>
      <x:c r="C8" s="12" t="str">
        <x:v>Meta / desktop Chrome</x:v>
      </x:c>
      <x:c r="D8" s="12" t="str">
        <x:v>Consent granted
Submit a valid enquiry; allow measurement</x:v>
      </x:c>
      <x:c r="E8" s="12" t="str">
        <x:v>One CRM record; each valid stage event once; consent respected</x:v>
      </x:c>
      <x:c r="F8" s="6" t="str">
        <x:v>Not run</x:v>
      </x:c>
      <x:c r="G8" s="6" t="str">
        <x:v>Not recorded</x:v>
      </x:c>
      <x:c r="H8" s="33"/>
      <x:c r="I8" s="6" t="str">
        <x:v>Not signed</x:v>
      </x:c>
      <x:c r="J8" s="2" t="str">
        <x:f>IF(F8="Pass",IF(AND(LEN(G8)&gt;0,G8&lt;&gt;"Not recorded",ISNUMBER(H8),LEN(I8)&gt;0,I8&lt;&gt;"Not signed"),"Complete","Missing evidence"),IF(F8="Fail","Failed","Not run"))</x:f>
        <x:v>Not run</x:v>
      </x:c>
    </x:row>
    <x:row r="9" ht="74" customHeight="1">
      <x:c r="A9" s="2"/>
      <x:c r="B9" s="2" t="str">
        <x:v>Q02</x:v>
      </x:c>
      <x:c r="C9" s="12" t="str">
        <x:v>Meta / mobile Safari</x:v>
      </x:c>
      <x:c r="D9" s="12" t="str">
        <x:v>Consent granted
Submit a valid enquiry; allow measurement</x:v>
      </x:c>
      <x:c r="E9" s="12" t="str">
        <x:v>One CRM record; each valid stage event once; consent respected</x:v>
      </x:c>
      <x:c r="F9" s="6" t="str">
        <x:v>Not run</x:v>
      </x:c>
      <x:c r="G9" s="6" t="str">
        <x:v>Not recorded</x:v>
      </x:c>
      <x:c r="H9" s="33"/>
      <x:c r="I9" s="6" t="str">
        <x:v>Not signed</x:v>
      </x:c>
      <x:c r="J9" s="2" t="str">
        <x:f>IF(F9="Pass",IF(AND(LEN(G9)&gt;0,G9&lt;&gt;"Not recorded",ISNUMBER(H9),LEN(I9)&gt;0,I9&lt;&gt;"Not signed"),"Complete","Missing evidence"),IF(F9="Fail","Failed","Not run"))</x:f>
        <x:v>Not run</x:v>
      </x:c>
    </x:row>
    <x:row r="10" ht="74" customHeight="1">
      <x:c r="A10" s="2"/>
      <x:c r="B10" s="2" t="str">
        <x:v>Q03</x:v>
      </x:c>
      <x:c r="C10" s="12" t="str">
        <x:v>Search / desktop Chrome</x:v>
      </x:c>
      <x:c r="D10" s="12" t="str">
        <x:v>Consent granted
Submit a valid enquiry; allow measurement</x:v>
      </x:c>
      <x:c r="E10" s="12" t="str">
        <x:v>One CRM record; each valid stage event once; consent respected</x:v>
      </x:c>
      <x:c r="F10" s="6" t="str">
        <x:v>Not run</x:v>
      </x:c>
      <x:c r="G10" s="6" t="str">
        <x:v>Not recorded</x:v>
      </x:c>
      <x:c r="H10" s="33"/>
      <x:c r="I10" s="6" t="str">
        <x:v>Not signed</x:v>
      </x:c>
      <x:c r="J10" s="2" t="str">
        <x:f>IF(F10="Pass",IF(AND(LEN(G10)&gt;0,G10&lt;&gt;"Not recorded",ISNUMBER(H10),LEN(I10)&gt;0,I10&lt;&gt;"Not signed"),"Complete","Missing evidence"),IF(F10="Fail","Failed","Not run"))</x:f>
        <x:v>Not run</x:v>
      </x:c>
    </x:row>
    <x:row r="11" ht="74" customHeight="1">
      <x:c r="A11" s="2"/>
      <x:c r="B11" s="2" t="str">
        <x:v>Q04</x:v>
      </x:c>
      <x:c r="C11" s="12" t="str">
        <x:v>Search / mobile Safari</x:v>
      </x:c>
      <x:c r="D11" s="12" t="str">
        <x:v>Consent granted
Submit a valid enquiry; allow measurement</x:v>
      </x:c>
      <x:c r="E11" s="12" t="str">
        <x:v>One CRM record; each valid stage event once; consent respected</x:v>
      </x:c>
      <x:c r="F11" s="6" t="str">
        <x:v>Not run</x:v>
      </x:c>
      <x:c r="G11" s="6" t="str">
        <x:v>Not recorded</x:v>
      </x:c>
      <x:c r="H11" s="33"/>
      <x:c r="I11" s="6" t="str">
        <x:v>Not signed</x:v>
      </x:c>
      <x:c r="J11" s="2" t="str">
        <x:f>IF(F11="Pass",IF(AND(LEN(G11)&gt;0,G11&lt;&gt;"Not recorded",ISNUMBER(H11),LEN(I11)&gt;0,I11&lt;&gt;"Not signed"),"Complete","Missing evidence"),IF(F11="Fail","Failed","Not run"))</x:f>
        <x:v>Not run</x:v>
      </x:c>
    </x:row>
    <x:row r="12" ht="74" customHeight="1">
      <x:c r="A12" s="2"/>
      <x:c r="B12" s="2" t="str">
        <x:v>Q05</x:v>
      </x:c>
      <x:c r="C12" s="12" t="str">
        <x:v>Meta / desktop Chrome</x:v>
      </x:c>
      <x:c r="D12" s="12" t="str">
        <x:v>Consent refused
Submit a valid enquiry; refuse measurement</x:v>
      </x:c>
      <x:c r="E12" s="12" t="str">
        <x:v>One operational CRM record; zero GA4/Ads/Meta events under the chosen basic mode</x:v>
      </x:c>
      <x:c r="F12" s="6" t="str">
        <x:v>Not run</x:v>
      </x:c>
      <x:c r="G12" s="6" t="str">
        <x:v>Not recorded</x:v>
      </x:c>
      <x:c r="H12" s="33"/>
      <x:c r="I12" s="6" t="str">
        <x:v>Not signed</x:v>
      </x:c>
      <x:c r="J12" s="2" t="str">
        <x:f>IF(F12="Pass",IF(AND(LEN(G12)&gt;0,G12&lt;&gt;"Not recorded",ISNUMBER(H12),LEN(I12)&gt;0,I12&lt;&gt;"Not signed"),"Complete","Missing evidence"),IF(F12="Fail","Failed","Not run"))</x:f>
        <x:v>Not run</x:v>
      </x:c>
    </x:row>
    <x:row r="13" ht="74" customHeight="1">
      <x:c r="A13" s="2"/>
      <x:c r="B13" s="2" t="str">
        <x:v>Q06</x:v>
      </x:c>
      <x:c r="C13" s="12" t="str">
        <x:v>Meta / mobile Safari</x:v>
      </x:c>
      <x:c r="D13" s="12" t="str">
        <x:v>Consent refused
Submit a valid enquiry; refuse measurement</x:v>
      </x:c>
      <x:c r="E13" s="12" t="str">
        <x:v>One operational CRM record; zero GA4/Ads/Meta events under the chosen basic mode</x:v>
      </x:c>
      <x:c r="F13" s="6" t="str">
        <x:v>Not run</x:v>
      </x:c>
      <x:c r="G13" s="6" t="str">
        <x:v>Not recorded</x:v>
      </x:c>
      <x:c r="H13" s="33"/>
      <x:c r="I13" s="6" t="str">
        <x:v>Not signed</x:v>
      </x:c>
      <x:c r="J13" s="2" t="str">
        <x:f>IF(F13="Pass",IF(AND(LEN(G13)&gt;0,G13&lt;&gt;"Not recorded",ISNUMBER(H13),LEN(I13)&gt;0,I13&lt;&gt;"Not signed"),"Complete","Missing evidence"),IF(F13="Fail","Failed","Not run"))</x:f>
        <x:v>Not run</x:v>
      </x:c>
    </x:row>
    <x:row r="14" ht="74" customHeight="1">
      <x:c r="A14" s="2"/>
      <x:c r="B14" s="2" t="str">
        <x:v>Q07</x:v>
      </x:c>
      <x:c r="C14" s="12" t="str">
        <x:v>Search / desktop Chrome</x:v>
      </x:c>
      <x:c r="D14" s="12" t="str">
        <x:v>Consent refused
Submit a valid enquiry; refuse measurement</x:v>
      </x:c>
      <x:c r="E14" s="12" t="str">
        <x:v>One operational CRM record; zero GA4/Ads/Meta events under the chosen basic mode</x:v>
      </x:c>
      <x:c r="F14" s="6" t="str">
        <x:v>Not run</x:v>
      </x:c>
      <x:c r="G14" s="6" t="str">
        <x:v>Not recorded</x:v>
      </x:c>
      <x:c r="H14" s="33"/>
      <x:c r="I14" s="6" t="str">
        <x:v>Not signed</x:v>
      </x:c>
      <x:c r="J14" s="2" t="str">
        <x:f>IF(F14="Pass",IF(AND(LEN(G14)&gt;0,G14&lt;&gt;"Not recorded",ISNUMBER(H14),LEN(I14)&gt;0,I14&lt;&gt;"Not signed"),"Complete","Missing evidence"),IF(F14="Fail","Failed","Not run"))</x:f>
        <x:v>Not run</x:v>
      </x:c>
    </x:row>
    <x:row r="15" ht="74" customHeight="1">
      <x:c r="A15" s="2"/>
      <x:c r="B15" s="2" t="str">
        <x:v>Q08</x:v>
      </x:c>
      <x:c r="C15" s="12" t="str">
        <x:v>Search / mobile Safari</x:v>
      </x:c>
      <x:c r="D15" s="12" t="str">
        <x:v>Consent refused
Submit a valid enquiry; refuse measurement</x:v>
      </x:c>
      <x:c r="E15" s="12" t="str">
        <x:v>One operational CRM record; zero GA4/Ads/Meta events under the chosen basic mode</x:v>
      </x:c>
      <x:c r="F15" s="6" t="str">
        <x:v>Not run</x:v>
      </x:c>
      <x:c r="G15" s="6" t="str">
        <x:v>Not recorded</x:v>
      </x:c>
      <x:c r="H15" s="33"/>
      <x:c r="I15" s="6" t="str">
        <x:v>Not signed</x:v>
      </x:c>
      <x:c r="J15" s="2" t="str">
        <x:f>IF(F15="Pass",IF(AND(LEN(G15)&gt;0,G15&lt;&gt;"Not recorded",ISNUMBER(H15),LEN(I15)&gt;0,I15&lt;&gt;"Not signed"),"Complete","Missing evidence"),IF(F15="Fail","Failed","Not run"))</x:f>
        <x:v>Not run</x:v>
      </x:c>
    </x:row>
    <x:row r="16" ht="74" customHeight="1">
      <x:c r="A16" s="2"/>
      <x:c r="B16" s="2" t="str">
        <x:v>Q09</x:v>
      </x:c>
      <x:c r="C16" s="12" t="str">
        <x:v>Meta / desktop Chrome</x:v>
      </x:c>
      <x:c r="D16" s="12" t="str">
        <x:v>Invalid input
Omit or invalidate a required field</x:v>
      </x:c>
      <x:c r="E16" s="12" t="str">
        <x:v>No successful enquiry or Lead event; show the correct error</x:v>
      </x:c>
      <x:c r="F16" s="6" t="str">
        <x:v>Not run</x:v>
      </x:c>
      <x:c r="G16" s="6" t="str">
        <x:v>Not recorded</x:v>
      </x:c>
      <x:c r="H16" s="33"/>
      <x:c r="I16" s="6" t="str">
        <x:v>Not signed</x:v>
      </x:c>
      <x:c r="J16" s="2" t="str">
        <x:f>IF(F16="Pass",IF(AND(LEN(G16)&gt;0,G16&lt;&gt;"Not recorded",ISNUMBER(H16),LEN(I16)&gt;0,I16&lt;&gt;"Not signed"),"Complete","Missing evidence"),IF(F16="Fail","Failed","Not run"))</x:f>
        <x:v>Not run</x:v>
      </x:c>
    </x:row>
    <x:row r="17" ht="74" customHeight="1">
      <x:c r="A17" s="2"/>
      <x:c r="B17" s="2" t="str">
        <x:v>Q10</x:v>
      </x:c>
      <x:c r="C17" s="12" t="str">
        <x:v>Meta / mobile Safari</x:v>
      </x:c>
      <x:c r="D17" s="12" t="str">
        <x:v>Invalid input
Omit or invalidate a required field</x:v>
      </x:c>
      <x:c r="E17" s="12" t="str">
        <x:v>No successful enquiry or Lead event; show the correct error</x:v>
      </x:c>
      <x:c r="F17" s="6" t="str">
        <x:v>Not run</x:v>
      </x:c>
      <x:c r="G17" s="6" t="str">
        <x:v>Not recorded</x:v>
      </x:c>
      <x:c r="H17" s="33"/>
      <x:c r="I17" s="6" t="str">
        <x:v>Not signed</x:v>
      </x:c>
      <x:c r="J17" s="2" t="str">
        <x:f>IF(F17="Pass",IF(AND(LEN(G17)&gt;0,G17&lt;&gt;"Not recorded",ISNUMBER(H17),LEN(I17)&gt;0,I17&lt;&gt;"Not signed"),"Complete","Missing evidence"),IF(F17="Fail","Failed","Not run"))</x:f>
        <x:v>Not run</x:v>
      </x:c>
    </x:row>
    <x:row r="18" ht="74" customHeight="1">
      <x:c r="A18" s="2"/>
      <x:c r="B18" s="2" t="str">
        <x:v>Q11</x:v>
      </x:c>
      <x:c r="C18" s="12" t="str">
        <x:v>Search / desktop Chrome</x:v>
      </x:c>
      <x:c r="D18" s="12" t="str">
        <x:v>Invalid input
Omit or invalidate a required field</x:v>
      </x:c>
      <x:c r="E18" s="12" t="str">
        <x:v>No successful enquiry or Lead event; show the correct error</x:v>
      </x:c>
      <x:c r="F18" s="6" t="str">
        <x:v>Not run</x:v>
      </x:c>
      <x:c r="G18" s="6" t="str">
        <x:v>Not recorded</x:v>
      </x:c>
      <x:c r="H18" s="33"/>
      <x:c r="I18" s="6" t="str">
        <x:v>Not signed</x:v>
      </x:c>
      <x:c r="J18" s="2" t="str">
        <x:f>IF(F18="Pass",IF(AND(LEN(G18)&gt;0,G18&lt;&gt;"Not recorded",ISNUMBER(H18),LEN(I18)&gt;0,I18&lt;&gt;"Not signed"),"Complete","Missing evidence"),IF(F18="Fail","Failed","Not run"))</x:f>
        <x:v>Not run</x:v>
      </x:c>
    </x:row>
    <x:row r="19" ht="74" customHeight="1">
      <x:c r="A19" s="2"/>
      <x:c r="B19" s="2" t="str">
        <x:v>Q12</x:v>
      </x:c>
      <x:c r="C19" s="12" t="str">
        <x:v>Search / mobile Safari</x:v>
      </x:c>
      <x:c r="D19" s="12" t="str">
        <x:v>Invalid input
Omit or invalidate a required field</x:v>
      </x:c>
      <x:c r="E19" s="12" t="str">
        <x:v>No successful enquiry or Lead event; show the correct error</x:v>
      </x:c>
      <x:c r="F19" s="6" t="str">
        <x:v>Not run</x:v>
      </x:c>
      <x:c r="G19" s="6" t="str">
        <x:v>Not recorded</x:v>
      </x:c>
      <x:c r="H19" s="33"/>
      <x:c r="I19" s="6" t="str">
        <x:v>Not signed</x:v>
      </x:c>
      <x:c r="J19" s="2" t="str">
        <x:f>IF(F19="Pass",IF(AND(LEN(G19)&gt;0,G19&lt;&gt;"Not recorded",ISNUMBER(H19),LEN(I19)&gt;0,I19&lt;&gt;"Not signed"),"Complete","Missing evidence"),IF(F19="Fail","Failed","Not run"))</x:f>
        <x:v>Not run</x:v>
      </x:c>
    </x:row>
    <x:row r="20" ht="74" customHeight="1">
      <x:c r="A20" s="2"/>
      <x:c r="B20" s="2" t="str">
        <x:v>Q13</x:v>
      </x:c>
      <x:c r="C20" s="12" t="str">
        <x:v>Meta / desktop Chrome</x:v>
      </x:c>
      <x:c r="D20" s="12" t="str">
        <x:v>Retry / duplicate
Resubmit or refresh the response</x:v>
      </x:c>
      <x:c r="E20" s="12" t="str">
        <x:v>One record for the same idempotency key; no extra conversion</x:v>
      </x:c>
      <x:c r="F20" s="6" t="str">
        <x:v>Not run</x:v>
      </x:c>
      <x:c r="G20" s="6" t="str">
        <x:v>Not recorded</x:v>
      </x:c>
      <x:c r="H20" s="33"/>
      <x:c r="I20" s="6" t="str">
        <x:v>Not signed</x:v>
      </x:c>
      <x:c r="J20" s="2" t="str">
        <x:f>IF(F20="Pass",IF(AND(LEN(G20)&gt;0,G20&lt;&gt;"Not recorded",ISNUMBER(H20),LEN(I20)&gt;0,I20&lt;&gt;"Not signed"),"Complete","Missing evidence"),IF(F20="Fail","Failed","Not run"))</x:f>
        <x:v>Not run</x:v>
      </x:c>
    </x:row>
    <x:row r="21" ht="74" customHeight="1">
      <x:c r="A21" s="2"/>
      <x:c r="B21" s="2" t="str">
        <x:v>Q14</x:v>
      </x:c>
      <x:c r="C21" s="12" t="str">
        <x:v>Meta / mobile Safari</x:v>
      </x:c>
      <x:c r="D21" s="12" t="str">
        <x:v>Retry / duplicate
Resubmit or refresh the response</x:v>
      </x:c>
      <x:c r="E21" s="12" t="str">
        <x:v>One record for the same idempotency key; no extra conversion</x:v>
      </x:c>
      <x:c r="F21" s="6" t="str">
        <x:v>Not run</x:v>
      </x:c>
      <x:c r="G21" s="6" t="str">
        <x:v>Not recorded</x:v>
      </x:c>
      <x:c r="H21" s="33"/>
      <x:c r="I21" s="6" t="str">
        <x:v>Not signed</x:v>
      </x:c>
      <x:c r="J21" s="2" t="str">
        <x:f>IF(F21="Pass",IF(AND(LEN(G21)&gt;0,G21&lt;&gt;"Not recorded",ISNUMBER(H21),LEN(I21)&gt;0,I21&lt;&gt;"Not signed"),"Complete","Missing evidence"),IF(F21="Fail","Failed","Not run"))</x:f>
        <x:v>Not run</x:v>
      </x:c>
    </x:row>
    <x:row r="22" ht="74" customHeight="1">
      <x:c r="A22" s="2"/>
      <x:c r="B22" s="2" t="str">
        <x:v>Q15</x:v>
      </x:c>
      <x:c r="C22" s="12" t="str">
        <x:v>Search / desktop Chrome</x:v>
      </x:c>
      <x:c r="D22" s="12" t="str">
        <x:v>Retry / duplicate
Resubmit or refresh the response</x:v>
      </x:c>
      <x:c r="E22" s="12" t="str">
        <x:v>One record for the same idempotency key; no extra conversion</x:v>
      </x:c>
      <x:c r="F22" s="6" t="str">
        <x:v>Not run</x:v>
      </x:c>
      <x:c r="G22" s="6" t="str">
        <x:v>Not recorded</x:v>
      </x:c>
      <x:c r="H22" s="33"/>
      <x:c r="I22" s="6" t="str">
        <x:v>Not signed</x:v>
      </x:c>
      <x:c r="J22" s="2" t="str">
        <x:f>IF(F22="Pass",IF(AND(LEN(G22)&gt;0,G22&lt;&gt;"Not recorded",ISNUMBER(H22),LEN(I22)&gt;0,I22&lt;&gt;"Not signed"),"Complete","Missing evidence"),IF(F22="Fail","Failed","Not run"))</x:f>
        <x:v>Not run</x:v>
      </x:c>
    </x:row>
    <x:row r="23" ht="74" customHeight="1">
      <x:c r="A23" s="2"/>
      <x:c r="B23" s="2" t="str">
        <x:v>Q16</x:v>
      </x:c>
      <x:c r="C23" s="12" t="str">
        <x:v>Search / mobile Safari</x:v>
      </x:c>
      <x:c r="D23" s="12" t="str">
        <x:v>Retry / duplicate
Resubmit or refresh the response</x:v>
      </x:c>
      <x:c r="E23" s="12" t="str">
        <x:v>One record for the same idempotency key; no extra conversion</x:v>
      </x:c>
      <x:c r="F23" s="6" t="str">
        <x:v>Not run</x:v>
      </x:c>
      <x:c r="G23" s="6" t="str">
        <x:v>Not recorded</x:v>
      </x:c>
      <x:c r="H23" s="33"/>
      <x:c r="I23" s="6" t="str">
        <x:v>Not signed</x:v>
      </x:c>
      <x:c r="J23" s="2" t="str">
        <x:f>IF(F23="Pass",IF(AND(LEN(G23)&gt;0,G23&lt;&gt;"Not recorded",ISNUMBER(H23),LEN(I23)&gt;0,I23&lt;&gt;"Not signed"),"Complete","Missing evidence"),IF(F23="Fail","Failed","Not run"))</x:f>
        <x:v>Not run</x:v>
      </x:c>
    </x:row>
    <x:row r="24" ht="74" customHeight="1">
      <x:c r="A24" s="2"/>
      <x:c r="B24" s="2" t="str">
        <x:v>Q17</x:v>
      </x:c>
      <x:c r="C24" s="12" t="str">
        <x:v>Meta / desktop Chrome</x:v>
      </x:c>
      <x:c r="D24" s="12" t="str">
        <x:v>Unpaid booking
Create a booking without payment</x:v>
      </x:c>
      <x:c r="E24" s="12" t="str">
        <x:v>Pending in CRM; zero paid-booking conversions</x:v>
      </x:c>
      <x:c r="F24" s="6" t="str">
        <x:v>Not run</x:v>
      </x:c>
      <x:c r="G24" s="6" t="str">
        <x:v>Not recorded</x:v>
      </x:c>
      <x:c r="H24" s="33"/>
      <x:c r="I24" s="6" t="str">
        <x:v>Not signed</x:v>
      </x:c>
      <x:c r="J24" s="2" t="str">
        <x:f>IF(F24="Pass",IF(AND(LEN(G24)&gt;0,G24&lt;&gt;"Not recorded",ISNUMBER(H24),LEN(I24)&gt;0,I24&lt;&gt;"Not signed"),"Complete","Missing evidence"),IF(F24="Fail","Failed","Not run"))</x:f>
        <x:v>Not run</x:v>
      </x:c>
    </x:row>
    <x:row r="25" ht="74" customHeight="1">
      <x:c r="A25" s="2"/>
      <x:c r="B25" s="2" t="str">
        <x:v>Q18</x:v>
      </x:c>
      <x:c r="C25" s="12" t="str">
        <x:v>Meta / mobile Safari</x:v>
      </x:c>
      <x:c r="D25" s="12" t="str">
        <x:v>Unpaid booking
Create a booking without payment</x:v>
      </x:c>
      <x:c r="E25" s="12" t="str">
        <x:v>Pending in CRM; zero paid-booking conversions</x:v>
      </x:c>
      <x:c r="F25" s="6" t="str">
        <x:v>Not run</x:v>
      </x:c>
      <x:c r="G25" s="6" t="str">
        <x:v>Not recorded</x:v>
      </x:c>
      <x:c r="H25" s="33"/>
      <x:c r="I25" s="6" t="str">
        <x:v>Not signed</x:v>
      </x:c>
      <x:c r="J25" s="2" t="str">
        <x:f>IF(F25="Pass",IF(AND(LEN(G25)&gt;0,G25&lt;&gt;"Not recorded",ISNUMBER(H25),LEN(I25)&gt;0,I25&lt;&gt;"Not signed"),"Complete","Missing evidence"),IF(F25="Fail","Failed","Not run"))</x:f>
        <x:v>Not run</x:v>
      </x:c>
    </x:row>
    <x:row r="26" ht="74" customHeight="1">
      <x:c r="A26" s="2"/>
      <x:c r="B26" s="2" t="str">
        <x:v>Q19</x:v>
      </x:c>
      <x:c r="C26" s="12" t="str">
        <x:v>Search / desktop Chrome</x:v>
      </x:c>
      <x:c r="D26" s="12" t="str">
        <x:v>Unpaid booking
Create a booking without payment</x:v>
      </x:c>
      <x:c r="E26" s="12" t="str">
        <x:v>Pending in CRM; zero paid-booking conversions</x:v>
      </x:c>
      <x:c r="F26" s="6" t="str">
        <x:v>Not run</x:v>
      </x:c>
      <x:c r="G26" s="6" t="str">
        <x:v>Not recorded</x:v>
      </x:c>
      <x:c r="H26" s="33"/>
      <x:c r="I26" s="6" t="str">
        <x:v>Not signed</x:v>
      </x:c>
      <x:c r="J26" s="2" t="str">
        <x:f>IF(F26="Pass",IF(AND(LEN(G26)&gt;0,G26&lt;&gt;"Not recorded",ISNUMBER(H26),LEN(I26)&gt;0,I26&lt;&gt;"Not signed"),"Complete","Missing evidence"),IF(F26="Fail","Failed","Not run"))</x:f>
        <x:v>Not run</x:v>
      </x:c>
    </x:row>
    <x:row r="27" ht="74" customHeight="1">
      <x:c r="A27" s="2"/>
      <x:c r="B27" s="2" t="str">
        <x:v>Q20</x:v>
      </x:c>
      <x:c r="C27" s="12" t="str">
        <x:v>Search / mobile Safari</x:v>
      </x:c>
      <x:c r="D27" s="12" t="str">
        <x:v>Unpaid booking
Create a booking without payment</x:v>
      </x:c>
      <x:c r="E27" s="12" t="str">
        <x:v>Pending in CRM; zero paid-booking conversions</x:v>
      </x:c>
      <x:c r="F27" s="6" t="str">
        <x:v>Not run</x:v>
      </x:c>
      <x:c r="G27" s="6" t="str">
        <x:v>Not recorded</x:v>
      </x:c>
      <x:c r="H27" s="33"/>
      <x:c r="I27" s="6" t="str">
        <x:v>Not signed</x:v>
      </x:c>
      <x:c r="J27" s="2" t="str">
        <x:f>IF(F27="Pass",IF(AND(LEN(G27)&gt;0,G27&lt;&gt;"Not recorded",ISNUMBER(H27),LEN(I27)&gt;0,I27&lt;&gt;"Not signed"),"Complete","Missing evidence"),IF(F27="Fail","Failed","Not run"))</x:f>
        <x:v>Not run</x:v>
      </x:c>
    </x:row>
    <x:row r="28" ht="74" customHeight="1">
      <x:c r="A28" s="2"/>
      <x:c r="B28" s="2" t="str">
        <x:v>Q21</x:v>
      </x:c>
      <x:c r="C28" s="12" t="str">
        <x:v>Meta / desktop Chrome</x:v>
      </x:c>
      <x:c r="D28" s="12" t="str">
        <x:v>Payment / refund
Repeat payment confirmation twice, then refund in test</x:v>
      </x:c>
      <x:c r="E28" s="12" t="str">
        <x:v>Count one payment; update net ledger on refund; no new lead from the refund</x:v>
      </x:c>
      <x:c r="F28" s="6" t="str">
        <x:v>Not run</x:v>
      </x:c>
      <x:c r="G28" s="6" t="str">
        <x:v>Not recorded</x:v>
      </x:c>
      <x:c r="H28" s="33"/>
      <x:c r="I28" s="6" t="str">
        <x:v>Not signed</x:v>
      </x:c>
      <x:c r="J28" s="2" t="str">
        <x:f>IF(F28="Pass",IF(AND(LEN(G28)&gt;0,G28&lt;&gt;"Not recorded",ISNUMBER(H28),LEN(I28)&gt;0,I28&lt;&gt;"Not signed"),"Complete","Missing evidence"),IF(F28="Fail","Failed","Not run"))</x:f>
        <x:v>Not run</x:v>
      </x:c>
    </x:row>
    <x:row r="29" ht="74" customHeight="1">
      <x:c r="A29" s="2"/>
      <x:c r="B29" s="2" t="str">
        <x:v>Q22</x:v>
      </x:c>
      <x:c r="C29" s="12" t="str">
        <x:v>Meta / mobile Safari</x:v>
      </x:c>
      <x:c r="D29" s="12" t="str">
        <x:v>Payment / refund
Repeat payment confirmation twice, then refund in test</x:v>
      </x:c>
      <x:c r="E29" s="12" t="str">
        <x:v>Count one payment; update net ledger on refund; no new lead from the refund</x:v>
      </x:c>
      <x:c r="F29" s="6" t="str">
        <x:v>Not run</x:v>
      </x:c>
      <x:c r="G29" s="6" t="str">
        <x:v>Not recorded</x:v>
      </x:c>
      <x:c r="H29" s="33"/>
      <x:c r="I29" s="6" t="str">
        <x:v>Not signed</x:v>
      </x:c>
      <x:c r="J29" s="2" t="str">
        <x:f>IF(F29="Pass",IF(AND(LEN(G29)&gt;0,G29&lt;&gt;"Not recorded",ISNUMBER(H29),LEN(I29)&gt;0,I29&lt;&gt;"Not signed"),"Complete","Missing evidence"),IF(F29="Fail","Failed","Not run"))</x:f>
        <x:v>Not run</x:v>
      </x:c>
    </x:row>
    <x:row r="30" ht="74" customHeight="1">
      <x:c r="A30" s="2"/>
      <x:c r="B30" s="2" t="str">
        <x:v>Q23</x:v>
      </x:c>
      <x:c r="C30" s="12" t="str">
        <x:v>Search / desktop Chrome</x:v>
      </x:c>
      <x:c r="D30" s="12" t="str">
        <x:v>Payment / refund
Repeat payment confirmation twice, then refund in test</x:v>
      </x:c>
      <x:c r="E30" s="12" t="str">
        <x:v>Count one payment; update net ledger on refund; no new lead from the refund</x:v>
      </x:c>
      <x:c r="F30" s="6" t="str">
        <x:v>Not run</x:v>
      </x:c>
      <x:c r="G30" s="6" t="str">
        <x:v>Not recorded</x:v>
      </x:c>
      <x:c r="H30" s="33"/>
      <x:c r="I30" s="6" t="str">
        <x:v>Not signed</x:v>
      </x:c>
      <x:c r="J30" s="2" t="str">
        <x:f>IF(F30="Pass",IF(AND(LEN(G30)&gt;0,G30&lt;&gt;"Not recorded",ISNUMBER(H30),LEN(I30)&gt;0,I30&lt;&gt;"Not signed"),"Complete","Missing evidence"),IF(F30="Fail","Failed","Not run"))</x:f>
        <x:v>Not run</x:v>
      </x:c>
    </x:row>
    <x:row r="31" ht="74" customHeight="1">
      <x:c r="A31" s="2"/>
      <x:c r="B31" s="2" t="str">
        <x:v>Q24</x:v>
      </x:c>
      <x:c r="C31" s="12" t="str">
        <x:v>Search / mobile Safari</x:v>
      </x:c>
      <x:c r="D31" s="12" t="str">
        <x:v>Payment / refund
Repeat payment confirmation twice, then refund in test</x:v>
      </x:c>
      <x:c r="E31" s="12" t="str">
        <x:v>Count one payment; update net ledger on refund; no new lead from the refund</x:v>
      </x:c>
      <x:c r="F31" s="6" t="str">
        <x:v>Not run</x:v>
      </x:c>
      <x:c r="G31" s="6" t="str">
        <x:v>Not recorded</x:v>
      </x:c>
      <x:c r="H31" s="33"/>
      <x:c r="I31" s="6" t="str">
        <x:v>Not signed</x:v>
      </x:c>
      <x:c r="J31" s="2" t="str">
        <x:f>IF(F31="Pass",IF(AND(LEN(G31)&gt;0,G31&lt;&gt;"Not recorded",ISNUMBER(H31),LEN(I31)&gt;0,I31&lt;&gt;"Not signed"),"Complete","Missing evidence"),IF(F31="Fail","Failed","Not run"))</x:f>
        <x:v>Not run</x:v>
      </x:c>
    </x:row>
    <x:row r="32" ht="26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6" customHeight="1">
      <x:c r="A34" s="2"/>
      <x:c r="B34" s="2" t="str">
        <x:v>Planned QA: 5–6 Nov 2026. No tests were executed to populate this workbook.</x:v>
      </x:c>
      <x:c r="C34" s="2"/>
      <x:c r="D34" s="2"/>
      <x:c r="E34" s="2"/>
      <x:c r="F34" s="2"/>
      <x:c r="G34" s="2"/>
      <x:c r="H34" s="2"/>
      <x:c r="I34" s="2"/>
      <x:c r="J34" s="2"/>
    </x:row>
    <x:row r="35" ht="26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6" customHeight="1">
      <x:c r="A36" s="2"/>
      <x:c r="B36" s="2" t="str">
        <x:v>Guide: https://support.google.com/tagmanager/answer/6107056?hl=en</x:v>
      </x:c>
      <x:c r="C36" s="2"/>
      <x:c r="D36" s="2"/>
      <x:c r="E36" s="2"/>
      <x:c r="F36" s="2"/>
      <x:c r="G36" s="2"/>
      <x:c r="H36" s="2"/>
      <x:c r="I36" s="2"/>
      <x:c r="J36" s="2"/>
    </x:row>
    <x:row r="37" ht="26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6" customHeight="1">
      <x:c r="A38" s="2"/>
      <x:c r="B38" s="2" t="str">
        <x:v>Consent baseline: https://developers.google.com/tag-platform/security/concepts/consent-mode</x:v>
      </x:c>
      <x:c r="C38" s="2"/>
      <x:c r="D38" s="2"/>
      <x:c r="E38" s="2"/>
      <x:c r="F38" s="2"/>
      <x:c r="G38" s="2"/>
      <x:c r="H38" s="2"/>
      <x:c r="I38" s="2"/>
      <x:c r="J38" s="2"/>
    </x:row>
    <x:row r="39" ht="26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6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6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6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 ht="26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</x:sheetData>
  <x:conditionalFormatting sqref="J8:J31">
    <x:cfRule type="containsText" dxfId="3" priority="1" operator="containsText" text="Missing"/>
  </x:conditionalFormatting>
  <x:dataValidations count="1">
    <x:dataValidation type="list" sqref="F8:F31">
      <x:formula1>"Not run,Pass,Fail"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.25" hidden="0" customWidth="1"/>
    <x:col min="2" max="2" width="8.130000114440918" hidden="0" customWidth="1"/>
    <x:col min="3" max="3" width="23.75" hidden="0" customWidth="1"/>
    <x:col min="4" max="4" width="23.1299991607666" hidden="0" customWidth="1"/>
    <x:col min="5" max="5" width="46.25" hidden="0" customWidth="1"/>
    <x:col min="6" max="6" width="15.630000114440918" hidden="0" customWidth="1"/>
    <x:col min="7" max="7" width="32.5" hidden="0" customWidth="1"/>
    <x:col min="8" max="8" width="18.1299991607666" hidden="0" customWidth="1"/>
    <x:col min="9" max="9" width="17.5" hidden="0" customWidth="1"/>
    <x:col min="10" max="10" width="18.7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2"/>
      <x:c r="B2" s="3" t="str">
        <x:v>Evidence register (10 planned items)</x:v>
      </x:c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 t="str">
        <x:v>Complete</x:v>
      </x:c>
      <x:c r="C4" s="2" t="n">
        <x:f>COUNTIFS(J8:J17,"Complete")</x:f>
        <x:v>0</x:v>
      </x:c>
      <x:c r="D4" s="2" t="str">
        <x:v>Not run or not evidenced</x:v>
      </x:c>
      <x:c r="E4" s="2" t="n">
        <x:f>10-C4</x:f>
        <x:v>10</x:v>
      </x:c>
      <x:c r="F4" s="2"/>
      <x:c r="G4" s="2" t="str">
        <x:v>No evidence artifacts are represented as already created.</x:v>
      </x:c>
      <x:c r="H4" s="2"/>
      <x:c r="I4" s="2"/>
      <x:c r="J4" s="2"/>
    </x:row>
    <x:row r="5" ht="26" customHeight="1">
      <x:c r="A5" s="2"/>
      <x:c r="B5" s="2" t="str">
        <x:v>Plan only: enter real evidence, time and reviewer after execution.</x:v>
      </x:c>
      <x:c r="C5" s="2"/>
      <x:c r="D5" s="2"/>
      <x:c r="E5" s="2"/>
      <x:c r="F5" s="2"/>
      <x:c r="G5" s="2"/>
      <x:c r="H5" s="2"/>
      <x:c r="I5" s="2"/>
      <x:c r="J5" s="2"/>
    </x:row>
    <x:row r="6" ht="26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29" customHeight="1">
      <x:c r="A7" s="2"/>
      <x:c r="B7" s="8" t="str">
        <x:v>ID</x:v>
      </x:c>
      <x:c r="C7" s="8" t="str">
        <x:v>Planned date</x:v>
      </x:c>
      <x:c r="D7" s="8" t="str">
        <x:v>Artifact</x:v>
      </x:c>
      <x:c r="E7" s="8" t="str">
        <x:v>Owner</x:v>
      </x:c>
      <x:c r="F7" s="8" t="str">
        <x:v>Status</x:v>
      </x:c>
      <x:c r="G7" s="8" t="str">
        <x:v>Actual file / link</x:v>
      </x:c>
      <x:c r="H7" s="8" t="str">
        <x:v>Captured at</x:v>
      </x:c>
      <x:c r="I7" s="8" t="str">
        <x:v>Reviewer</x:v>
      </x:c>
      <x:c r="J7" s="8" t="str">
        <x:v>Evidence status</x:v>
      </x:c>
    </x:row>
    <x:row r="8" ht="65" customHeight="1">
      <x:c r="A8" s="2"/>
      <x:c r="B8" s="2" t="str">
        <x:v>E01</x:v>
      </x:c>
      <x:c r="C8" s="30" t="d">
        <x:v>2026-11-03T00:00:00.000Z</x:v>
      </x:c>
      <x:c r="D8" s="12" t="str">
        <x:v>Scope and baseline</x:v>
      </x:c>
      <x:c r="E8" s="12" t="str">
        <x:v>Long + manager</x:v>
      </x:c>
      <x:c r="F8" s="6" t="str">
        <x:v>Not created</x:v>
      </x:c>
      <x:c r="G8" s="6" t="str">
        <x:v>Not recorded</x:v>
      </x:c>
      <x:c r="H8" s="33"/>
      <x:c r="I8" s="6" t="str">
        <x:v>Not signed</x:v>
      </x:c>
      <x:c r="J8" s="2" t="str">
        <x:f>IF(F8="Ready",IF(AND(LEN(G8)&gt;0,G8&lt;&gt;"Not recorded",ISNUMBER(H8),LEN(I8)&gt;0,I8&lt;&gt;"Not signed"),"Complete","Missing evidence"),"Pending")</x:f>
        <x:v>Pending</x:v>
      </x:c>
    </x:row>
    <x:row r="9" ht="65" customHeight="1">
      <x:c r="A9" s="2"/>
      <x:c r="B9" s="2" t="str">
        <x:v>E02</x:v>
      </x:c>
      <x:c r="C9" s="30" t="d">
        <x:v>2026-11-06T00:00:00.000Z</x:v>
      </x:c>
      <x:c r="D9" s="12" t="str">
        <x:v>GTM draft and export</x:v>
      </x:c>
      <x:c r="E9" s="12" t="str">
        <x:v>Long + technical owner</x:v>
      </x:c>
      <x:c r="F9" s="6" t="str">
        <x:v>Not created</x:v>
      </x:c>
      <x:c r="G9" s="6" t="str">
        <x:v>Not recorded</x:v>
      </x:c>
      <x:c r="H9" s="33"/>
      <x:c r="I9" s="6" t="str">
        <x:v>Not signed</x:v>
      </x:c>
      <x:c r="J9" s="2" t="str">
        <x:f>IF(F9="Ready",IF(AND(LEN(G9)&gt;0,G9&lt;&gt;"Not recorded",ISNUMBER(H9),LEN(I9)&gt;0,I9&lt;&gt;"Not signed"),"Complete","Missing evidence"),"Pending")</x:f>
        <x:v>Pending</x:v>
      </x:c>
    </x:row>
    <x:row r="10" ht="65" customHeight="1">
      <x:c r="A10" s="2"/>
      <x:c r="B10" s="2" t="str">
        <x:v>E03</x:v>
      </x:c>
      <x:c r="C10" s="30" t="d">
        <x:v>2026-11-06T00:00:00.000Z</x:v>
      </x:c>
      <x:c r="D10" s="12" t="str">
        <x:v>24 QA logs</x:v>
      </x:c>
      <x:c r="E10" s="12" t="str">
        <x:v>Long + reviewer</x:v>
      </x:c>
      <x:c r="F10" s="6" t="str">
        <x:v>Not created</x:v>
      </x:c>
      <x:c r="G10" s="6" t="str">
        <x:v>Not recorded</x:v>
      </x:c>
      <x:c r="H10" s="33"/>
      <x:c r="I10" s="6" t="str">
        <x:v>Not signed</x:v>
      </x:c>
      <x:c r="J10" s="2" t="str">
        <x:f>IF(F10="Ready",IF(AND(LEN(G10)&gt;0,G10&lt;&gt;"Not recorded",ISNUMBER(H10),LEN(I10)&gt;0,I10&lt;&gt;"Not signed"),"Complete","Missing evidence"),"Pending")</x:f>
        <x:v>Pending</x:v>
      </x:c>
    </x:row>
    <x:row r="11" ht="65" customHeight="1">
      <x:c r="A11" s="2"/>
      <x:c r="B11" s="2" t="str">
        <x:v>E04</x:v>
      </x:c>
      <x:c r="C11" s="30" t="d">
        <x:v>2026-11-09T00:00:00.000Z</x:v>
      </x:c>
      <x:c r="D11" s="12" t="str">
        <x:v>Published version and live smoke test</x:v>
      </x:c>
      <x:c r="E11" s="12" t="str">
        <x:v>Authorised publisher</x:v>
      </x:c>
      <x:c r="F11" s="6" t="str">
        <x:v>Not created</x:v>
      </x:c>
      <x:c r="G11" s="6" t="str">
        <x:v>Not recorded</x:v>
      </x:c>
      <x:c r="H11" s="33"/>
      <x:c r="I11" s="6" t="str">
        <x:v>Not signed</x:v>
      </x:c>
      <x:c r="J11" s="2" t="str">
        <x:f>IF(F11="Ready",IF(AND(LEN(G11)&gt;0,G11&lt;&gt;"Not recorded",ISNUMBER(H11),LEN(I11)&gt;0,I11&lt;&gt;"Not signed"),"Complete","Missing evidence"),"Pending")</x:f>
        <x:v>Pending</x:v>
      </x:c>
    </x:row>
    <x:row r="12" ht="65" customHeight="1">
      <x:c r="A12" s="2"/>
      <x:c r="B12" s="2" t="str">
        <x:v>E05</x:v>
      </x:c>
      <x:c r="C12" s="30" t="d">
        <x:v>2026-11-30T00:00:00.000Z</x:v>
      </x:c>
      <x:c r="D12" s="12" t="str">
        <x:v>Advertising spend export</x:v>
      </x:c>
      <x:c r="E12" s="12" t="str">
        <x:v>Long</x:v>
      </x:c>
      <x:c r="F12" s="6" t="str">
        <x:v>Not created</x:v>
      </x:c>
      <x:c r="G12" s="6" t="str">
        <x:v>Not recorded</x:v>
      </x:c>
      <x:c r="H12" s="33"/>
      <x:c r="I12" s="6" t="str">
        <x:v>Not signed</x:v>
      </x:c>
      <x:c r="J12" s="2" t="str">
        <x:f>IF(F12="Ready",IF(AND(LEN(G12)&gt;0,G12&lt;&gt;"Not recorded",ISNUMBER(H12),LEN(I12)&gt;0,I12&lt;&gt;"Not signed"),"Complete","Missing evidence"),"Pending")</x:f>
        <x:v>Pending</x:v>
      </x:c>
    </x:row>
    <x:row r="13" ht="65" customHeight="1">
      <x:c r="A13" s="2"/>
      <x:c r="B13" s="2" t="str">
        <x:v>E06</x:v>
      </x:c>
      <x:c r="C13" s="30" t="d">
        <x:v>2026-12-29T00:00:00.000Z</x:v>
      </x:c>
      <x:c r="D13" s="12" t="str">
        <x:v>CRM cohort export</x:v>
      </x:c>
      <x:c r="E13" s="12" t="str">
        <x:v>Sales owner</x:v>
      </x:c>
      <x:c r="F13" s="6" t="str">
        <x:v>Not created</x:v>
      </x:c>
      <x:c r="G13" s="6" t="str">
        <x:v>Not recorded</x:v>
      </x:c>
      <x:c r="H13" s="33"/>
      <x:c r="I13" s="6" t="str">
        <x:v>Not signed</x:v>
      </x:c>
      <x:c r="J13" s="2" t="str">
        <x:f>IF(F13="Ready",IF(AND(LEN(G13)&gt;0,G13&lt;&gt;"Not recorded",ISNUMBER(H13),LEN(I13)&gt;0,I13&lt;&gt;"Not signed"),"Complete","Missing evidence"),"Pending")</x:f>
        <x:v>Pending</x:v>
      </x:c>
    </x:row>
    <x:row r="14" ht="65" customHeight="1">
      <x:c r="A14" s="2"/>
      <x:c r="B14" s="2" t="str">
        <x:v>E07</x:v>
      </x:c>
      <x:c r="C14" s="30" t="d">
        <x:v>2026-12-29T00:00:00.000Z</x:v>
      </x:c>
      <x:c r="D14" s="12" t="str">
        <x:v>Payment and refund reconciliation</x:v>
      </x:c>
      <x:c r="E14" s="12" t="str">
        <x:v>Finance</x:v>
      </x:c>
      <x:c r="F14" s="6" t="str">
        <x:v>Not created</x:v>
      </x:c>
      <x:c r="G14" s="6" t="str">
        <x:v>Not recorded</x:v>
      </x:c>
      <x:c r="H14" s="33"/>
      <x:c r="I14" s="6" t="str">
        <x:v>Not signed</x:v>
      </x:c>
      <x:c r="J14" s="2" t="str">
        <x:f>IF(F14="Ready",IF(AND(LEN(G14)&gt;0,G14&lt;&gt;"Not recorded",ISNUMBER(H14),LEN(I14)&gt;0,I14&lt;&gt;"Not signed"),"Complete","Missing evidence"),"Pending")</x:f>
        <x:v>Pending</x:v>
      </x:c>
    </x:row>
    <x:row r="15" ht="65" customHeight="1">
      <x:c r="A15" s="2"/>
      <x:c r="B15" s="2" t="str">
        <x:v>E08</x:v>
      </x:c>
      <x:c r="C15" s="30" t="d">
        <x:v>2026-12-29T00:00:00.000Z</x:v>
      </x:c>
      <x:c r="D15" s="12" t="str">
        <x:v>Attendance and enrolment</x:v>
      </x:c>
      <x:c r="E15" s="12" t="str">
        <x:v>Centre owner</x:v>
      </x:c>
      <x:c r="F15" s="6" t="str">
        <x:v>Not created</x:v>
      </x:c>
      <x:c r="G15" s="6" t="str">
        <x:v>Not recorded</x:v>
      </x:c>
      <x:c r="H15" s="33"/>
      <x:c r="I15" s="6" t="str">
        <x:v>Not signed</x:v>
      </x:c>
      <x:c r="J15" s="2" t="str">
        <x:f>IF(F15="Ready",IF(AND(LEN(G15)&gt;0,G15&lt;&gt;"Not recorded",ISNUMBER(H15),LEN(I15)&gt;0,I15&lt;&gt;"Not signed"),"Complete","Missing evidence"),"Pending")</x:f>
        <x:v>Pending</x:v>
      </x:c>
    </x:row>
    <x:row r="16" ht="65" customHeight="1">
      <x:c r="A16" s="2"/>
      <x:c r="B16" s="2" t="str">
        <x:v>E09</x:v>
      </x:c>
      <x:c r="C16" s="30" t="d">
        <x:v>2027-03-29T00:00:00.000Z</x:v>
      </x:c>
      <x:c r="D16" s="12" t="str">
        <x:v>90-day contribution and costs</x:v>
      </x:c>
      <x:c r="E16" s="12" t="str">
        <x:v>Finance</x:v>
      </x:c>
      <x:c r="F16" s="6" t="str">
        <x:v>Not created</x:v>
      </x:c>
      <x:c r="G16" s="6" t="str">
        <x:v>Not recorded</x:v>
      </x:c>
      <x:c r="H16" s="33"/>
      <x:c r="I16" s="6" t="str">
        <x:v>Not signed</x:v>
      </x:c>
      <x:c r="J16" s="2" t="str">
        <x:f>IF(F16="Ready",IF(AND(LEN(G16)&gt;0,G16&lt;&gt;"Not recorded",ISNUMBER(H16),LEN(I16)&gt;0,I16&lt;&gt;"Not signed"),"Complete","Missing evidence"),"Pending")</x:f>
        <x:v>Pending</x:v>
      </x:c>
    </x:row>
    <x:row r="17" ht="65" customHeight="1">
      <x:c r="A17" s="2"/>
      <x:c r="B17" s="2" t="str">
        <x:v>E10</x:v>
      </x:c>
      <x:c r="C17" s="30" t="d">
        <x:v>2026-12-29T00:00:00.000Z</x:v>
      </x:c>
      <x:c r="D17" s="12" t="str">
        <x:v>Change log and interview case</x:v>
      </x:c>
      <x:c r="E17" s="12" t="str">
        <x:v>Long</x:v>
      </x:c>
      <x:c r="F17" s="6" t="str">
        <x:v>Not created</x:v>
      </x:c>
      <x:c r="G17" s="6" t="str">
        <x:v>Not recorded</x:v>
      </x:c>
      <x:c r="H17" s="33"/>
      <x:c r="I17" s="6" t="str">
        <x:v>Not signed</x:v>
      </x:c>
      <x:c r="J17" s="2" t="str">
        <x:f>IF(F17="Ready",IF(AND(LEN(G17)&gt;0,G17&lt;&gt;"Not recorded",ISNUMBER(H17),LEN(I17)&gt;0,I17&lt;&gt;"Not signed"),"Complete","Missing evidence"),"Pending")</x:f>
        <x:v>Pending</x:v>
      </x:c>
    </x:row>
    <x:row r="18" ht="26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6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9" customHeight="1">
      <x:c r="A20" s="2"/>
      <x:c r="B20" s="8" t="str">
        <x:v>ID</x:v>
      </x:c>
      <x:c r="C20" s="8" t="str">
        <x:v>Acceptance criteria</x:v>
      </x:c>
      <x:c r="D20" s="8" t="str"/>
      <x:c r="E20" s="8"/>
      <x:c r="F20" s="2"/>
      <x:c r="G20" s="2"/>
      <x:c r="H20" s="2"/>
      <x:c r="I20" s="2"/>
      <x:c r="J20" s="2"/>
    </x:row>
    <x:row r="21" ht="43" customHeight="1">
      <x:c r="A21" s="2"/>
      <x:c r="B21" s="2" t="str">
        <x:v>E01</x:v>
      </x:c>
      <x:c r="C21" s="12" t="str">
        <x:v>Dates, currency, data permissions, outcome definitions and baseline</x:v>
      </x:c>
      <x:c r="D21" s="2"/>
      <x:c r="E21" s="2"/>
      <x:c r="F21" s="2"/>
      <x:c r="G21" s="2"/>
      <x:c r="H21" s="2"/>
      <x:c r="I21" s="2"/>
      <x:c r="J21" s="2"/>
    </x:row>
    <x:row r="22" ht="43" customHeight="1">
      <x:c r="A22" s="2"/>
      <x:c r="B22" s="2" t="str">
        <x:v>E02</x:v>
      </x:c>
      <x:c r="C22" s="12" t="str">
        <x:v>Real container ID, version and diff against direct tags</x:v>
      </x:c>
      <x:c r="D22" s="2"/>
      <x:c r="E22" s="2"/>
      <x:c r="F22" s="2"/>
      <x:c r="G22" s="2"/>
      <x:c r="H22" s="2"/>
      <x:c r="I22" s="2"/>
      <x:c r="J22" s="2"/>
    </x:row>
    <x:row r="23" ht="43" customHeight="1">
      <x:c r="A23" s="2"/>
      <x:c r="B23" s="2" t="str">
        <x:v>E03</x:v>
      </x:c>
      <x:c r="C23" s="12" t="str">
        <x:v>Test ID, time, expected/actual result and screenshot/log link</x:v>
      </x:c>
      <x:c r="D23" s="2"/>
      <x:c r="E23" s="2"/>
      <x:c r="F23" s="2"/>
      <x:c r="G23" s="2"/>
      <x:c r="H23" s="2"/>
      <x:c r="I23" s="2"/>
      <x:c r="J23" s="2"/>
    </x:row>
    <x:row r="24" ht="43" customHeight="1">
      <x:c r="A24" s="2"/>
      <x:c r="B24" s="2" t="str">
        <x:v>E04</x:v>
      </x:c>
      <x:c r="C24" s="12" t="str">
        <x:v>Real version, publisher, live check and rollback</x:v>
      </x:c>
      <x:c r="D24" s="2"/>
      <x:c r="E24" s="2"/>
      <x:c r="F24" s="2"/>
      <x:c r="G24" s="2"/>
      <x:c r="H24" s="2"/>
      <x:c r="I24" s="2"/>
      <x:c r="J24" s="2"/>
    </x:row>
    <x:row r="25" ht="43" customHeight="1">
      <x:c r="A25" s="2"/>
      <x:c r="B25" s="2" t="str">
        <x:v>E05</x:v>
      </x:c>
      <x:c r="C25" s="12" t="str">
        <x:v>Dates, account/campaign IDs, SGD, fees/taxes and nonconverting spend</x:v>
      </x:c>
      <x:c r="D25" s="2"/>
      <x:c r="E25" s="2"/>
      <x:c r="F25" s="2"/>
      <x:c r="G25" s="2"/>
      <x:c r="H25" s="2"/>
      <x:c r="I25" s="2"/>
      <x:c r="J25" s="2"/>
    </x:row>
    <x:row r="26" ht="43" customHeight="1">
      <x:c r="A26" s="2"/>
      <x:c r="B26" s="2" t="str">
        <x:v>E06</x:v>
      </x:c>
      <x:c r="C26" s="12" t="str">
        <x:v>Lead/child-offer IDs, source/unknown, consent and timestamps</x:v>
      </x:c>
      <x:c r="D26" s="2"/>
      <x:c r="E26" s="2"/>
      <x:c r="F26" s="2"/>
      <x:c r="G26" s="2"/>
      <x:c r="H26" s="2"/>
      <x:c r="I26" s="2"/>
      <x:c r="J26" s="2"/>
    </x:row>
    <x:row r="27" ht="43" customHeight="1">
      <x:c r="A27" s="2"/>
      <x:c r="B27" s="2" t="str">
        <x:v>E07</x:v>
      </x:c>
      <x:c r="C27" s="12" t="str">
        <x:v>Booking/payment IDs, gross/refund/net and unmatched records</x:v>
      </x:c>
      <x:c r="D27" s="2"/>
      <x:c r="E27" s="2"/>
      <x:c r="F27" s="2"/>
      <x:c r="G27" s="2"/>
      <x:c r="H27" s="2"/>
      <x:c r="I27" s="2"/>
      <x:c r="J27" s="2"/>
    </x:row>
    <x:row r="28" ht="43" customHeight="1">
      <x:c r="A28" s="2"/>
      <x:c r="B28" s="2" t="str">
        <x:v>E08</x:v>
      </x:c>
      <x:c r="C28" s="12" t="str">
        <x:v>Check-in, enrolment ID, dates, payments and refunds</x:v>
      </x:c>
      <x:c r="D28" s="2"/>
      <x:c r="E28" s="2"/>
      <x:c r="F28" s="2"/>
      <x:c r="G28" s="2"/>
      <x:c r="H28" s="2"/>
      <x:c r="I28" s="2"/>
      <x:c r="J28" s="2"/>
    </x:row>
    <x:row r="29" ht="43" customHeight="1">
      <x:c r="A29" s="2"/>
      <x:c r="B29" s="2" t="str">
        <x:v>E09</x:v>
      </x:c>
      <x:c r="C29" s="12" t="str">
        <x:v>Delivery costs, fees, RDA credit, applicable taxes and overhead boundary</x:v>
      </x:c>
      <x:c r="D29" s="2"/>
      <x:c r="E29" s="2"/>
      <x:c r="F29" s="2"/>
      <x:c r="G29" s="2"/>
      <x:c r="H29" s="2"/>
      <x:c r="I29" s="2"/>
      <x:c r="J29" s="2"/>
    </x:row>
    <x:row r="30" ht="43" customHeight="1">
      <x:c r="A30" s="2"/>
      <x:c r="B30" s="2" t="str">
        <x:v>E10</x:v>
      </x:c>
      <x:c r="C30" s="12" t="str">
        <x:v>Personal role, actual changes, decisions, limits and links to E01–E09</x:v>
      </x:c>
      <x:c r="D30" s="2"/>
      <x:c r="E30" s="2"/>
      <x:c r="F30" s="2"/>
      <x:c r="G30" s="2"/>
      <x:c r="H30" s="2"/>
      <x:c r="I30" s="2"/>
      <x:c r="J30" s="2"/>
    </x:row>
    <x:row r="31" ht="26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6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6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6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6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6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6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 ht="26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6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6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6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 ht="26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</x:sheetData>
  <x:mergeCells>
    <x:mergeCell ref="C21:E21"/>
    <x:mergeCell ref="C22:E22"/>
    <x:mergeCell ref="C23:E23"/>
    <x:mergeCell ref="C24:E24"/>
    <x:mergeCell ref="C25:E25"/>
    <x:mergeCell ref="C26:E26"/>
    <x:mergeCell ref="C27:E27"/>
    <x:mergeCell ref="C28:E28"/>
    <x:mergeCell ref="C29:E29"/>
    <x:mergeCell ref="C30:E30"/>
  </x:mergeCells>
  <x:conditionalFormatting sqref="J8:J31">
    <x:cfRule type="containsText" dxfId="4" priority="1" operator="containsText" text="Missing"/>
  </x:conditionalFormatting>
  <x:dataValidations count="1">
    <x:dataValidation type="list" sqref="F8:F17">
      <x:formula1>"Not created,In progress,Ready"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.25" hidden="0" customWidth="1"/>
    <x:col min="2" max="2" width="33.75" hidden="0" customWidth="1"/>
    <x:col min="3" max="3" width="89.37999725341797" hidden="0" customWidth="1"/>
  </x:cols>
  <x:sheetData>
    <x:row r="1" ht="26" customHeight="1">
      <x:c r="A1" s="2"/>
      <x:c r="B1" s="2"/>
      <x:c r="C1" s="2"/>
    </x:row>
    <x:row r="2" ht="26" customHeight="1">
      <x:c r="A2" s="2"/>
      <x:c r="B2" s="3" t="str">
        <x:v>Google Search launch brief</x:v>
      </x:c>
      <x:c r="C2" s="2"/>
    </x:row>
    <x:row r="3" ht="26" customHeight="1">
      <x:c r="A3" s="2"/>
      <x:c r="B3" s="2"/>
      <x:c r="C3" s="2"/>
    </x:row>
    <x:row r="4" ht="26" customHeight="1">
      <x:c r="A4" s="2"/>
      <x:c r="B4" s="2" t="str">
        <x:v>Case selected</x:v>
      </x:c>
      <x:c r="C4" s="4" t="str">
        <x:f>'Economics'!C4</x:f>
        <x:v>Base</x:v>
      </x:c>
    </x:row>
    <x:row r="5" ht="26" customHeight="1">
      <x:c r="A5" s="2"/>
      <x:c r="B5" s="2" t="str">
        <x:v>Search media allocation</x:v>
      </x:c>
      <x:c r="C5" s="34" t="n">
        <x:f>'Economics'!F8*'Economics'!F17</x:f>
        <x:v>1200</x:v>
      </x:c>
    </x:row>
    <x:row r="6" ht="26" customHeight="1">
      <x:c r="A6" s="2"/>
      <x:c r="B6" s="2"/>
      <x:c r="C6" s="2"/>
    </x:row>
    <x:row r="7" ht="29" customHeight="1">
      <x:c r="A7" s="2"/>
      <x:c r="B7" s="8" t="str">
        <x:v>Setting</x:v>
      </x:c>
      <x:c r="C7" s="8" t="str">
        <x:v>Proposed setup</x:v>
      </x:c>
    </x:row>
    <x:row r="8" ht="51" customHeight="1">
      <x:c r="A8" s="2"/>
      <x:c r="B8" s="2" t="str">
        <x:v>Scope</x:v>
      </x:c>
      <x:c r="C8" s="12" t="str">
        <x:v>One RDA offer. Start with one non-brand intent group; brand RDA terms are prepared separately and remain paused until existing coverage is checked.</x:v>
      </x:c>
    </x:row>
    <x:row r="9" ht="51" customHeight="1">
      <x:c r="A9" s="2"/>
      <x:c r="B9" s="2" t="str">
        <x:v>Media allocation</x:v>
      </x:c>
      <x:c r="C9" s="12" t="str">
        <x:v>40% of pilot media. S$1,200 in the base plan, within the weekly total cap; unused spend is not a failure.</x:v>
      </x:c>
    </x:row>
    <x:row r="10" ht="51" customHeight="1">
      <x:c r="A10" s="2"/>
      <x:c r="B10" s="2" t="str">
        <x:v>Locations</x:v>
      </x:c>
      <x:c r="C10" s="12" t="str">
        <x:v>People in or regularly in Singapore. Confirm realistic catchments for Novena and Katong; use booking centre/postcode to review serviceability.</x:v>
      </x:c>
    </x:row>
    <x:row r="11" ht="51" customHeight="1">
      <x:c r="A11" s="2"/>
      <x:c r="B11" s="2" t="str">
        <x:v>Networks and language</x:v>
      </x:c>
      <x:c r="C11" s="12" t="str">
        <x:v>English Search pilot. Review Search partners separately before enabling. Do not expand into Display from this test.</x:v>
      </x:c>
    </x:row>
    <x:row r="12" ht="51" customHeight="1">
      <x:c r="A12" s="2"/>
      <x:c r="B12" s="2" t="str">
        <x:v>Conversion goal</x:v>
      </x:c>
      <x:c r="C12" s="12" t="str">
        <x:v>One primary stage: validated paid booking, or qualified lead while paid volume is insufficient. Keep other stages secondary; check custom goals, which can still bid on included secondary actions.</x:v>
      </x:c>
    </x:row>
    <x:row r="13" ht="51" customHeight="1">
      <x:c r="A13" s="2"/>
      <x:c r="B13" s="2" t="str">
        <x:v>Bidding</x:v>
      </x:c>
      <x:c r="C13" s="12" t="str">
        <x:v>Choose from validated account history and outcome volume. The S$45 blended paid-CPA working target is not a Google target CPA or max CPC.</x:v>
      </x:c>
    </x:row>
    <x:row r="14" ht="51" customHeight="1">
      <x:c r="A14" s="2"/>
      <x:c r="B14" s="2" t="str">
        <x:v>Pacing</x:v>
      </x:c>
      <x:c r="C14" s="12" t="str">
        <x:v>Review actual spend daily. An average daily budget is not a hard daily cap. Keep a reserve and pause before the approved total is exhausted.</x:v>
      </x:c>
    </x:row>
    <x:row r="15" ht="51" customHeight="1">
      <x:c r="A15" s="2"/>
      <x:c r="B15" s="2" t="str">
        <x:v>Destination</x:v>
      </x:c>
      <x:c r="C15" s="12" t="str">
        <x:v>Use the RDA page only for RDA intent. Separate Trial Class, holiday and generic class research into a later test with a matching page.</x:v>
      </x:c>
    </x:row>
    <x:row r="16" ht="51" customHeight="1">
      <x:c r="A16" s="2"/>
      <x:c r="B16" s="2" t="str">
        <x:v>Attribution</x:v>
      </x:c>
      <x:c r="C16" s="12" t="str">
        <x:v>One child/offer ID, original source and assisted touchpoints. Join qualified, paid, refunded, attended and enrolled states without summing them as one conversion total.</x:v>
      </x:c>
    </x:row>
    <x:row r="17" ht="26" customHeight="1">
      <x:c r="A17" s="2"/>
      <x:c r="B17" s="2"/>
      <x:c r="C17" s="2"/>
    </x:row>
    <x:row r="18" ht="26" customHeight="1">
      <x:c r="A18" s="2"/>
      <x:c r="B18" s="2"/>
      <x:c r="C18" s="2"/>
    </x:row>
    <x:row r="19" ht="29" customHeight="1">
      <x:c r="A19" s="2"/>
      <x:c r="B19" s="8" t="str">
        <x:v>Keyword draft</x:v>
      </x:c>
      <x:c r="C19" s="8" t="str">
        <x:v>Match type, group and launch state</x:v>
      </x:c>
    </x:row>
    <x:row r="20" ht="27" customHeight="1">
      <x:c r="A20" s="2"/>
      <x:c r="B20" s="2" t="str">
        <x:v>robotics assessment singapore</x:v>
      </x:c>
      <x:c r="C20" s="2" t="str">
        <x:v>Exact. Non-brand RDA. Proposed start.</x:v>
      </x:c>
    </x:row>
    <x:row r="21" ht="27" customHeight="1">
      <x:c r="A21" s="2"/>
      <x:c r="B21" s="2" t="str">
        <x:v>robotics assessment for kids</x:v>
      </x:c>
      <x:c r="C21" s="2" t="str">
        <x:v>Phrase. Non-brand RDA. Proposed start.</x:v>
      </x:c>
    </x:row>
    <x:row r="22" ht="27" customHeight="1">
      <x:c r="A22" s="2"/>
      <x:c r="B22" s="2" t="str">
        <x:v>robotics discovery session</x:v>
      </x:c>
      <x:c r="C22" s="2" t="str">
        <x:v>Phrase. Non-brand RDA. Proposed start.</x:v>
      </x:c>
    </x:row>
    <x:row r="23" ht="27" customHeight="1">
      <x:c r="A23" s="2"/>
      <x:c r="B23" s="2" t="str">
        <x:v>robotics assessment novena</x:v>
      </x:c>
      <x:c r="C23" s="2" t="str">
        <x:v>Exact. Non-brand RDA. Proposed start.</x:v>
      </x:c>
    </x:row>
    <x:row r="24" ht="27" customHeight="1">
      <x:c r="A24" s="2"/>
      <x:c r="B24" s="2" t="str">
        <x:v>robotics assessment katong</x:v>
      </x:c>
      <x:c r="C24" s="2" t="str">
        <x:v>Exact. Non-brand RDA. Proposed start.</x:v>
      </x:c>
    </x:row>
    <x:row r="25" ht="27" customHeight="1">
      <x:c r="A25" s="2"/>
      <x:c r="B25" s="2" t="str">
        <x:v>robotics assessment near me</x:v>
      </x:c>
      <x:c r="C25" s="2" t="str">
        <x:v>Phrase. Non-brand RDA. Proposed start.</x:v>
      </x:c>
    </x:row>
    <x:row r="26" ht="27" customHeight="1">
      <x:c r="A26" s="2"/>
      <x:c r="B26" s="2" t="str">
        <x:v>meta robotics assessment</x:v>
      </x:c>
      <x:c r="C26" s="2" t="str">
        <x:v>Exact. Brand RDA. Paused; check overlap.</x:v>
      </x:c>
    </x:row>
    <x:row r="27" ht="27" customHeight="1">
      <x:c r="A27" s="2"/>
      <x:c r="B27" s="2" t="str">
        <x:v>meta robotics rda</x:v>
      </x:c>
      <x:c r="C27" s="2" t="str">
        <x:v>Exact. Brand RDA. Paused; check overlap.</x:v>
      </x:c>
    </x:row>
    <x:row r="28" ht="27" customHeight="1">
      <x:c r="A28" s="2"/>
      <x:c r="B28" s="2" t="str">
        <x:v>meta robotics novena rda</x:v>
      </x:c>
      <x:c r="C28" s="2" t="str">
        <x:v>Exact. Brand RDA. Paused; check overlap.</x:v>
      </x:c>
    </x:row>
    <x:row r="29" ht="27" customHeight="1">
      <x:c r="A29" s="2"/>
      <x:c r="B29" s="2" t="str">
        <x:v>robotics class singapore</x:v>
      </x:c>
      <x:c r="C29" s="2" t="str">
        <x:v>Phrase. Later class test. Paused; different intent.</x:v>
      </x:c>
    </x:row>
    <x:row r="30" ht="27" customHeight="1">
      <x:c r="A30" s="2"/>
      <x:c r="B30" s="2" t="str">
        <x:v>robotics trial class</x:v>
      </x:c>
      <x:c r="C30" s="2" t="str">
        <x:v>Phrase. Later trial test. Paused; different offer.</x:v>
      </x:c>
    </x:row>
    <x:row r="31" ht="27" customHeight="1">
      <x:c r="A31" s="2"/>
      <x:c r="B31" s="2" t="str">
        <x:v>holiday robotics camp</x:v>
      </x:c>
      <x:c r="C31" s="2" t="str">
        <x:v>Phrase. Later holiday test. Paused; different offer.</x:v>
      </x:c>
    </x:row>
    <x:row r="32" ht="26" customHeight="1">
      <x:c r="A32" s="2"/>
      <x:c r="B32" s="2"/>
      <x:c r="C32" s="2"/>
    </x:row>
    <x:row r="33" ht="26" customHeight="1">
      <x:c r="A33" s="2"/>
      <x:c r="B33" s="2"/>
      <x:c r="C33" s="2"/>
    </x:row>
    <x:row r="34" ht="70" customHeight="1">
      <x:c r="A34" s="2"/>
      <x:c r="B34" s="29" t="str">
        <x:v>Negative keyword draft</x:v>
      </x:c>
      <x:c r="C34" s="12" t="str">
        <x:v>jobs, job, salary, career, careers, university degree, engineering degree, adult course, adult courses, robot kit, robot kits, robot toy, robot toys, repair, repairing, free download</x:v>
      </x:c>
    </x:row>
    <x:row r="35" ht="62" customHeight="1">
      <x:c r="A35" s="2"/>
      <x:c r="B35" s="2"/>
      <x:c r="C35" s="36" t="str">
        <x:v>Proposed phrase negatives. Review query context first; do not blanket-exclude coding, STEM, LEGO, price or free trial. Negative keywords need explicit variants; review actual search terms twice weekly.</x:v>
      </x:c>
    </x:row>
    <x:row r="36" ht="26" customHeight="1">
      <x:c r="A36" s="2"/>
      <x:c r="B36" s="2"/>
      <x:c r="C36" s="2"/>
    </x:row>
    <x:row r="37" ht="26" customHeight="1">
      <x:c r="A37" s="2"/>
      <x:c r="B37" s="2"/>
      <x:c r="C37" s="2"/>
    </x:row>
    <x:row r="38" ht="29" customHeight="1">
      <x:c r="A38" s="2"/>
      <x:c r="B38" s="8" t="str">
        <x:v>Outcome</x:v>
      </x:c>
      <x:c r="C38" s="8" t="str">
        <x:v>Definition and acceptance</x:v>
      </x:c>
    </x:row>
    <x:row r="39" ht="55" customHeight="1">
      <x:c r="A39" s="2"/>
      <x:c r="B39" s="2" t="str">
        <x:v>WhatsApp open</x:v>
      </x:c>
      <x:c r="C39" s="12" t="str">
        <x:v>A diagnostic click only; no evidence that a message was sent or received.</x:v>
      </x:c>
    </x:row>
    <x:row r="40" ht="55" customHeight="1">
      <x:c r="A40" s="2"/>
      <x:c r="B40" s="2" t="str">
        <x:v>Enquiry received</x:v>
      </x:c>
      <x:c r="C40" s="12" t="str">
        <x:v>One deduplicated child/offer record with actual received contact; retain consent and source/unknown state.</x:v>
      </x:c>
    </x:row>
    <x:row r="41" ht="55" customHeight="1">
      <x:c r="A41" s="2"/>
      <x:c r="B41" s="2" t="str">
        <x:v>Qualified</x:v>
      </x:c>
      <x:c r="C41" s="12" t="str">
        <x:v>Age/programme, serviceable centre, valid contact and genuine interest checked by sales.</x:v>
      </x:c>
    </x:row>
    <x:row r="42" ht="55" customHeight="1">
      <x:c r="A42" s="2"/>
      <x:c r="B42" s="2" t="str">
        <x:v>Paid booking</x:v>
      </x:c>
      <x:c r="C42" s="12" t="str">
        <x:v>Payment matched to the booking; exclude unpaid, cancelled and refunded records under the agreed window.</x:v>
      </x:c>
    </x:row>
    <x:row r="43" ht="55" customHeight="1">
      <x:c r="A43" s="2"/>
      <x:c r="B43" s="2" t="str">
        <x:v>Attended / enrolled</x:v>
      </x:c>
      <x:c r="C43" s="12" t="str">
        <x:v>Separate downstream states, dates and payment records; show pending outcomes until the cohort closes.</x:v>
      </x:c>
    </x:row>
    <x:row r="44" ht="55" customHeight="1">
      <x:c r="A44" s="2"/>
      <x:c r="B44" s="2" t="str">
        <x:v>QA acceptance</x:v>
      </x:c>
      <x:c r="C44" s="12" t="str">
        <x:v>24 planned tests: six scenarios across Meta/Search and desktop/mobile. Consent granted/refused, invalid input, duplicates, unpaid booking, payment/refund. Store actual result, evidence, time and reviewer.</x:v>
      </x:c>
    </x:row>
    <x:row r="45" ht="26" customHeight="1">
      <x:c r="A45" s="2"/>
      <x:c r="B45" s="2"/>
      <x:c r="C45" s="2"/>
    </x:row>
    <x:row r="46" ht="26" customHeight="1">
      <x:c r="A46" s="2"/>
      <x:c r="B46" s="2"/>
      <x:c r="C46" s="2"/>
    </x:row>
    <x:row r="47" ht="60" customHeight="1">
      <x:c r="A47" s="2"/>
      <x:c r="B47" s="2" t="str">
        <x:v>Experiment interpretation</x:v>
      </x:c>
      <x:c r="C47" s="12" t="str">
        <x:v>Two creative concepts keep offer and geography fixed. Review qualified enquiries and paid outcomes, not CTR alone. Low volume or adaptive delivery does not establish causality.</x:v>
      </x:c>
    </x:row>
    <x:row r="48" ht="26" customHeight="1">
      <x:c r="A48" s="2"/>
      <x:c r="B48" s="2"/>
      <x:c r="C48" s="2"/>
    </x:row>
    <x:row r="49" ht="26" customHeight="1">
      <x:c r="A49" s="2"/>
      <x:c r="B49" s="2"/>
      <x:c r="C49" s="2"/>
    </x:row>
    <x:row r="50" ht="60" customHeight="1">
      <x:c r="A50" s="2"/>
      <x:c r="B50" s="2" t="str">
        <x:v>Decision ownership</x:v>
      </x:c>
      <x:c r="C50" s="12" t="str">
        <x:v>Long: campaigns, QA, reporting and change log. Centre team: eligibility, capacity, payments, attendance and enrolment. Named owners and response times agreed before launch.</x:v>
      </x:c>
    </x:row>
    <x:row r="51" ht="26" customHeight="1">
      <x:c r="A51" s="2"/>
      <x:c r="B51" s="2"/>
      <x:c r="C51" s="2"/>
    </x:row>
    <x:row r="52" ht="26" customHeight="1">
      <x:c r="A52" s="2"/>
      <x:c r="B52" s="2"/>
      <x:c r="C52" s="2"/>
    </x:row>
    <x:row r="53" ht="26" customHeight="1">
      <x:c r="A53" s="2"/>
      <x:c r="B53" s="2" t="str">
        <x:v>Sources checked 27 Oct 2026</x:v>
      </x:c>
      <x:c r="C53" s="2"/>
    </x:row>
    <x:row r="54" ht="26" customHeight="1">
      <x:c r="A54" s="2"/>
      <x:c r="B54" s="2"/>
      <x:c r="C54" s="35" t="str">
        <x:v>https://www.metarobotics.sg/rda.html</x:v>
      </x:c>
    </x:row>
    <x:row r="55" ht="26" customHeight="1">
      <x:c r="A55" s="2"/>
      <x:c r="B55" s="2"/>
      <x:c r="C55" s="35" t="str">
        <x:v>https://support.google.com/google-ads/answer/7684791?hl=en</x:v>
      </x:c>
    </x:row>
    <x:row r="56" ht="26" customHeight="1">
      <x:c r="A56" s="2"/>
      <x:c r="B56" s="2"/>
      <x:c r="C56" s="35" t="str">
        <x:v>https://support.google.com/google-ads/answer/1722038?hl=en</x:v>
      </x:c>
    </x:row>
    <x:row r="57" ht="26" customHeight="1">
      <x:c r="A57" s="2"/>
      <x:c r="B57" s="2"/>
      <x:c r="C57" s="35" t="str">
        <x:v>https://support.google.com/google-ads/answer/2453972?hl=en</x:v>
      </x:c>
    </x:row>
    <x:row r="58" ht="26" customHeight="1">
      <x:c r="A58" s="2"/>
      <x:c r="B58" s="2"/>
      <x:c r="C58" s="35" t="str">
        <x:v>https://support.google.com/google-ads/answer/10486637?hl=en</x:v>
      </x:c>
    </x:row>
    <x:row r="59" ht="26" customHeight="1">
      <x:c r="A59" s="2"/>
      <x:c r="B59" s="2"/>
      <x:c r="C59" s="35" t="str">
        <x:v>https://support.google.com/google-ads/answer/11461796?hl=en</x:v>
      </x:c>
    </x:row>
    <x:row r="60" ht="26" customHeight="1">
      <x:c r="A60" s="2"/>
      <x:c r="B60" s="2"/>
      <x:c r="C60" s="2"/>
    </x:row>
    <x:row r="61" ht="26" customHeight="1">
      <x:c r="A61" s="2"/>
      <x:c r="B61" s="2"/>
      <x:c r="C61" s="2"/>
    </x:row>
    <x:row r="62" ht="26" customHeight="1">
      <x:c r="A62" s="2"/>
      <x:c r="B62" s="35" t="str">
        <x:v>Keywords and settings are proposed, not search-volume evidence or an import-ready account configuration.</x:v>
      </x:c>
      <x:c r="C62" s="2"/>
    </x:row>
    <x:row r="63" ht="26" customHeight="1">
      <x:c r="A63" s="2"/>
      <x:c r="B63" s="2"/>
      <x:c r="C63" s="2"/>
    </x:row>
    <x:row r="64" ht="26" customHeight="1">
      <x:c r="A64" s="2"/>
      <x:c r="B64" s="2"/>
      <x:c r="C64" s="2"/>
    </x:row>
    <x:row r="65" ht="26" customHeight="1">
      <x:c r="A65" s="2"/>
      <x:c r="B65" s="2"/>
      <x:c r="C65" s="2"/>
    </x:row>
    <x:row r="66" ht="26" customHeight="1">
      <x:c r="A66" s="2"/>
      <x:c r="B66" s="2"/>
      <x:c r="C66" s="2"/>
    </x:row>
    <x:row r="67" ht="26" customHeight="1">
      <x:c r="A67" s="2"/>
      <x:c r="B67" s="2"/>
      <x:c r="C67" s="2"/>
    </x:row>
    <x:row r="68" ht="26" customHeight="1">
      <x:c r="A68" s="2"/>
      <x:c r="B68" s="2"/>
      <x:c r="C68" s="2"/>
    </x:row>
    <x:row r="69" ht="26" customHeight="1">
      <x:c r="A69" s="2"/>
      <x:c r="B69" s="2"/>
      <x:c r="C69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.25" hidden="0" customWidth="1"/>
    <x:col min="2" max="2" width="21.25" hidden="0" customWidth="1"/>
    <x:col min="3" max="3" width="81.25" hidden="0" customWidth="1"/>
    <x:col min="4" max="4" width="11.5" hidden="0" customWidth="1"/>
    <x:col min="5" max="5" width="10" hidden="0" customWidth="1"/>
    <x:col min="6" max="6" width="16.25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2"/>
      <x:c r="B2" s="3" t="str">
        <x:v>Responsive Search Ad drafts</x:v>
      </x:c>
      <x:c r="C2" s="2"/>
      <x:c r="D2" s="2"/>
      <x:c r="E2" s="2"/>
      <x:c r="F2" s="2"/>
    </x:row>
    <x:row r="3" ht="26" customHeight="1">
      <x:c r="A3" s="2"/>
      <x:c r="B3" s="2"/>
      <x:c r="C3" s="2"/>
      <x:c r="D3" s="2"/>
      <x:c r="E3" s="2"/>
      <x:c r="F3" s="2"/>
    </x:row>
    <x:row r="4" ht="26" customHeight="1">
      <x:c r="A4" s="2"/>
      <x:c r="B4" s="2" t="str">
        <x:v>Case selected</x:v>
      </x:c>
      <x:c r="C4" s="4" t="str">
        <x:f>'Economics'!C4</x:f>
        <x:v>Base</x:v>
      </x:c>
      <x:c r="D4" s="2"/>
      <x:c r="E4" s="2"/>
      <x:c r="F4" s="2"/>
    </x:row>
    <x:row r="5" ht="26" customHeight="1">
      <x:c r="A5" s="2"/>
      <x:c r="B5" s="2"/>
      <x:c r="C5" s="2"/>
      <x:c r="D5" s="2"/>
      <x:c r="E5" s="2"/>
      <x:c r="F5" s="2"/>
    </x:row>
    <x:row r="6" ht="26" customHeight="1">
      <x:c r="A6" s="2"/>
      <x:c r="B6" s="2"/>
      <x:c r="C6" s="2"/>
      <x:c r="D6" s="2"/>
      <x:c r="E6" s="2"/>
      <x:c r="F6" s="2"/>
    </x:row>
    <x:row r="7" ht="26" customHeight="1">
      <x:c r="A7" s="2"/>
      <x:c r="B7" s="29" t="str">
        <x:v>A: Find a starting point</x:v>
      </x:c>
      <x:c r="C7" s="2"/>
      <x:c r="D7" s="2"/>
      <x:c r="E7" s="2"/>
      <x:c r="F7" s="2"/>
    </x:row>
    <x:row r="8" ht="29" customHeight="1">
      <x:c r="A8" s="2"/>
      <x:c r="B8" s="8" t="str">
        <x:v>Asset</x:v>
      </x:c>
      <x:c r="C8" s="8" t="str">
        <x:v>Draft copy</x:v>
      </x:c>
      <x:c r="D8" s="8" t="str">
        <x:v>Characters</x:v>
      </x:c>
      <x:c r="E8" s="8" t="str">
        <x:v>Limit</x:v>
      </x:c>
      <x:c r="F8" s="8" t="str">
        <x:v>Length check</x:v>
      </x:c>
    </x:row>
    <x:row r="9" ht="31" customHeight="1">
      <x:c r="A9" s="2"/>
      <x:c r="B9" s="2" t="str">
        <x:v>Headline 1</x:v>
      </x:c>
      <x:c r="C9" s="12" t="str">
        <x:v>Robotics Assessment</x:v>
      </x:c>
      <x:c r="D9" s="2" t="n">
        <x:f>LEN(C9)</x:f>
        <x:v>19</x:v>
      </x:c>
      <x:c r="E9" s="2" t="n">
        <x:v>30</x:v>
      </x:c>
      <x:c r="F9" s="2" t="str">
        <x:f>IF(D9&lt;=E9,"Within limit","SHORTEN COPY")</x:f>
        <x:v>Within limit</x:v>
      </x:c>
    </x:row>
    <x:row r="10" ht="31" customHeight="1">
      <x:c r="A10" s="2"/>
      <x:c r="B10" s="2" t="str">
        <x:v>Headline 2</x:v>
      </x:c>
      <x:c r="C10" s="12" t="str">
        <x:v>S$30 Discovery Session</x:v>
      </x:c>
      <x:c r="D10" s="2" t="n">
        <x:f>LEN(C10)</x:f>
        <x:v>22</x:v>
      </x:c>
      <x:c r="E10" s="2" t="n">
        <x:v>30</x:v>
      </x:c>
      <x:c r="F10" s="2" t="str">
        <x:f>IF(D10&lt;=E10,"Within limit","SHORTEN COPY")</x:f>
        <x:v>Within limit</x:v>
      </x:c>
    </x:row>
    <x:row r="11" ht="31" customHeight="1">
      <x:c r="A11" s="2"/>
      <x:c r="B11" s="2" t="str">
        <x:v>Headline 3</x:v>
      </x:c>
      <x:c r="C11" s="12" t="str">
        <x:v>Novena &amp; Katong Centres</x:v>
      </x:c>
      <x:c r="D11" s="2" t="n">
        <x:f>LEN(C11)</x:f>
        <x:v>23</x:v>
      </x:c>
      <x:c r="E11" s="2" t="n">
        <x:v>30</x:v>
      </x:c>
      <x:c r="F11" s="2" t="str">
        <x:f>IF(D11&lt;=E11,"Within limit","SHORTEN COPY")</x:f>
        <x:v>Within limit</x:v>
      </x:c>
    </x:row>
    <x:row r="12" ht="31" customHeight="1">
      <x:c r="A12" s="2"/>
      <x:c r="B12" s="2" t="str">
        <x:v>Headline 4</x:v>
      </x:c>
      <x:c r="C12" s="12" t="str">
        <x:v>Where Should Your Child Start?</x:v>
      </x:c>
      <x:c r="D12" s="2" t="n">
        <x:f>LEN(C12)</x:f>
        <x:v>30</x:v>
      </x:c>
      <x:c r="E12" s="2" t="n">
        <x:v>30</x:v>
      </x:c>
      <x:c r="F12" s="2" t="str">
        <x:f>IF(D12&lt;=E12,"Within limit","SHORTEN COPY")</x:f>
        <x:v>Within limit</x:v>
      </x:c>
    </x:row>
    <x:row r="13" ht="31" customHeight="1">
      <x:c r="A13" s="2"/>
      <x:c r="B13" s="2" t="str">
        <x:v>Headline 5</x:v>
      </x:c>
      <x:c r="C13" s="12" t="str">
        <x:v>45-Minute Robotics Activity</x:v>
      </x:c>
      <x:c r="D13" s="2" t="n">
        <x:f>LEN(C13)</x:f>
        <x:v>27</x:v>
      </x:c>
      <x:c r="E13" s="2" t="n">
        <x:v>30</x:v>
      </x:c>
      <x:c r="F13" s="2" t="str">
        <x:f>IF(D13&lt;=E13,"Within limit","SHORTEN COPY")</x:f>
        <x:v>Within limit</x:v>
      </x:c>
    </x:row>
    <x:row r="14" ht="31" customHeight="1">
      <x:c r="A14" s="2"/>
      <x:c r="B14" s="2" t="str">
        <x:v>Headline 6</x:v>
      </x:c>
      <x:c r="C14" s="12" t="str">
        <x:v>15-Minute Parent Consultation</x:v>
      </x:c>
      <x:c r="D14" s="2" t="n">
        <x:f>LEN(C14)</x:f>
        <x:v>29</x:v>
      </x:c>
      <x:c r="E14" s="2" t="n">
        <x:v>30</x:v>
      </x:c>
      <x:c r="F14" s="2" t="str">
        <x:f>IF(D14&lt;=E14,"Within limit","SHORTEN COPY")</x:f>
        <x:v>Within limit</x:v>
      </x:c>
    </x:row>
    <x:row r="15" ht="31" customHeight="1">
      <x:c r="A15" s="2"/>
      <x:c r="B15" s="2" t="str">
        <x:v>Headline 7</x:v>
      </x:c>
      <x:c r="C15" s="12" t="str">
        <x:v>Personal Learning Report</x:v>
      </x:c>
      <x:c r="D15" s="2" t="n">
        <x:f>LEN(C15)</x:f>
        <x:v>24</x:v>
      </x:c>
      <x:c r="E15" s="2" t="n">
        <x:v>30</x:v>
      </x:c>
      <x:c r="F15" s="2" t="str">
        <x:f>IF(D15&lt;=E15,"Within limit","SHORTEN COPY")</x:f>
        <x:v>Within limit</x:v>
      </x:c>
    </x:row>
    <x:row r="16" ht="31" customHeight="1">
      <x:c r="A16" s="2"/>
      <x:c r="B16" s="2" t="str">
        <x:v>Headline 8</x:v>
      </x:c>
      <x:c r="C16" s="12" t="str">
        <x:v>Explore Robotics Together</x:v>
      </x:c>
      <x:c r="D16" s="2" t="n">
        <x:f>LEN(C16)</x:f>
        <x:v>25</x:v>
      </x:c>
      <x:c r="E16" s="2" t="n">
        <x:v>30</x:v>
      </x:c>
      <x:c r="F16" s="2" t="str">
        <x:f>IF(D16&lt;=E16,"Within limit","SHORTEN COPY")</x:f>
        <x:v>Within limit</x:v>
      </x:c>
    </x:row>
    <x:row r="17" ht="31" customHeight="1">
      <x:c r="A17" s="2"/>
      <x:c r="B17" s="2" t="str">
        <x:v>Headline 9</x:v>
      </x:c>
      <x:c r="C17" s="12" t="str">
        <x:v>Ask About Available Sessions</x:v>
      </x:c>
      <x:c r="D17" s="2" t="n">
        <x:f>LEN(C17)</x:f>
        <x:v>28</x:v>
      </x:c>
      <x:c r="E17" s="2" t="n">
        <x:v>30</x:v>
      </x:c>
      <x:c r="F17" s="2" t="str">
        <x:f>IF(D17&lt;=E17,"Within limit","SHORTEN COPY")</x:f>
        <x:v>Within limit</x:v>
      </x:c>
    </x:row>
    <x:row r="18" ht="31" customHeight="1">
      <x:c r="A18" s="2"/>
      <x:c r="B18" s="2" t="str">
        <x:v>Headline 10</x:v>
      </x:c>
      <x:c r="C18" s="12" t="str">
        <x:v>Meet Meta Robotics</x:v>
      </x:c>
      <x:c r="D18" s="2" t="n">
        <x:f>LEN(C18)</x:f>
        <x:v>18</x:v>
      </x:c>
      <x:c r="E18" s="2" t="n">
        <x:v>30</x:v>
      </x:c>
      <x:c r="F18" s="2" t="str">
        <x:f>IF(D18&lt;=E18,"Within limit","SHORTEN COPY")</x:f>
        <x:v>Within limit</x:v>
      </x:c>
    </x:row>
    <x:row r="19" ht="31" customHeight="1">
      <x:c r="A19" s="2"/>
      <x:c r="B19" s="2" t="str">
        <x:v>Description 1</x:v>
      </x:c>
      <x:c r="C19" s="12" t="str">
        <x:v>Explore how your child learns. A personal report and parent consultation included.</x:v>
      </x:c>
      <x:c r="D19" s="2" t="n">
        <x:f>LEN(C19)</x:f>
        <x:v>82</x:v>
      </x:c>
      <x:c r="E19" s="2" t="n">
        <x:v>90</x:v>
      </x:c>
      <x:c r="F19" s="2" t="str">
        <x:f>IF(D19&lt;=E19,"Within limit","SHORTEN COPY")</x:f>
        <x:v>Within limit</x:v>
      </x:c>
    </x:row>
    <x:row r="20" ht="31" customHeight="1">
      <x:c r="A20" s="2"/>
      <x:c r="B20" s="2" t="str">
        <x:v>Description 2</x:v>
      </x:c>
      <x:c r="C20" s="12" t="str">
        <x:v>Book a 60-minute RDA at Novena or Katong. Ask our team about available sessions.</x:v>
      </x:c>
      <x:c r="D20" s="2" t="n">
        <x:f>LEN(C20)</x:f>
        <x:v>80</x:v>
      </x:c>
      <x:c r="E20" s="2" t="n">
        <x:v>90</x:v>
      </x:c>
      <x:c r="F20" s="2" t="str">
        <x:f>IF(D20&lt;=E20,"Within limit","SHORTEN COPY")</x:f>
        <x:v>Within limit</x:v>
      </x:c>
    </x:row>
    <x:row r="21" ht="31" customHeight="1">
      <x:c r="A21" s="2"/>
      <x:c r="B21" s="2" t="str">
        <x:v>Description 3</x:v>
      </x:c>
      <x:c r="C21" s="12" t="str">
        <x:v>Try a 45-minute robotics activity, then a 15-minute consultation for parents.</x:v>
      </x:c>
      <x:c r="D21" s="2" t="n">
        <x:f>LEN(C21)</x:f>
        <x:v>77</x:v>
      </x:c>
      <x:c r="E21" s="2" t="n">
        <x:v>90</x:v>
      </x:c>
      <x:c r="F21" s="2" t="str">
        <x:f>IF(D21&lt;=E21,"Within limit","SHORTEN COPY")</x:f>
        <x:v>Within limit</x:v>
      </x:c>
    </x:row>
    <x:row r="22" ht="31" customHeight="1">
      <x:c r="A22" s="2"/>
      <x:c r="B22" s="2" t="str">
        <x:v>Description 4</x:v>
      </x:c>
      <x:c r="C22" s="12" t="str">
        <x:v>Not sure where to start? Ask about our S$30 Robotics Discovery Assessment.</x:v>
      </x:c>
      <x:c r="D22" s="2" t="n">
        <x:f>LEN(C22)</x:f>
        <x:v>74</x:v>
      </x:c>
      <x:c r="E22" s="2" t="n">
        <x:v>90</x:v>
      </x:c>
      <x:c r="F22" s="2" t="str">
        <x:f>IF(D22&lt;=E22,"Within limit","SHORTEN COPY")</x:f>
        <x:v>Within limit</x:v>
      </x:c>
    </x:row>
    <x:row r="23" ht="26" customHeight="1">
      <x:c r="A23" s="2"/>
      <x:c r="B23" s="2"/>
      <x:c r="C23" s="2"/>
      <x:c r="D23" s="2"/>
      <x:c r="E23" s="2"/>
      <x:c r="F23" s="2"/>
    </x:row>
    <x:row r="24" ht="26" customHeight="1">
      <x:c r="A24" s="2"/>
      <x:c r="B24" s="2"/>
      <x:c r="C24" s="2"/>
      <x:c r="D24" s="2"/>
      <x:c r="E24" s="2"/>
      <x:c r="F24" s="2"/>
    </x:row>
    <x:row r="25" ht="26" customHeight="1">
      <x:c r="A25" s="2"/>
      <x:c r="B25" s="29" t="str">
        <x:v>B: See their approach</x:v>
      </x:c>
      <x:c r="C25" s="2"/>
      <x:c r="D25" s="2"/>
      <x:c r="E25" s="2"/>
      <x:c r="F25" s="2"/>
    </x:row>
    <x:row r="26" ht="29" customHeight="1">
      <x:c r="A26" s="2"/>
      <x:c r="B26" s="8" t="str">
        <x:v>Asset</x:v>
      </x:c>
      <x:c r="C26" s="8" t="str">
        <x:v>Draft copy</x:v>
      </x:c>
      <x:c r="D26" s="8" t="str">
        <x:v>Characters</x:v>
      </x:c>
      <x:c r="E26" s="8" t="str">
        <x:v>Limit</x:v>
      </x:c>
      <x:c r="F26" s="8" t="str">
        <x:v>Length check</x:v>
      </x:c>
    </x:row>
    <x:row r="27" ht="31" customHeight="1">
      <x:c r="A27" s="2"/>
      <x:c r="B27" s="2" t="str">
        <x:v>Headline 1</x:v>
      </x:c>
      <x:c r="C27" s="12" t="str">
        <x:v>See How Your Child Learns</x:v>
      </x:c>
      <x:c r="D27" s="2" t="n">
        <x:f>LEN(C27)</x:f>
        <x:v>25</x:v>
      </x:c>
      <x:c r="E27" s="2" t="n">
        <x:v>30</x:v>
      </x:c>
      <x:c r="F27" s="2" t="str">
        <x:f>IF(D27&lt;=E27,"Within limit","SHORTEN COPY")</x:f>
        <x:v>Within limit</x:v>
      </x:c>
    </x:row>
    <x:row r="28" ht="31" customHeight="1">
      <x:c r="A28" s="2"/>
      <x:c r="B28" s="2" t="str">
        <x:v>Headline 2</x:v>
      </x:c>
      <x:c r="C28" s="12" t="str">
        <x:v>Explore A Robotics Challenge</x:v>
      </x:c>
      <x:c r="D28" s="2" t="n">
        <x:f>LEN(C28)</x:f>
        <x:v>28</x:v>
      </x:c>
      <x:c r="E28" s="2" t="n">
        <x:v>30</x:v>
      </x:c>
      <x:c r="F28" s="2" t="str">
        <x:f>IF(D28&lt;=E28,"Within limit","SHORTEN COPY")</x:f>
        <x:v>Within limit</x:v>
      </x:c>
    </x:row>
    <x:row r="29" ht="31" customHeight="1">
      <x:c r="A29" s="2"/>
      <x:c r="B29" s="2" t="str">
        <x:v>Headline 3</x:v>
      </x:c>
      <x:c r="C29" s="12" t="str">
        <x:v>S$30 Robotics Assessment</x:v>
      </x:c>
      <x:c r="D29" s="2" t="n">
        <x:f>LEN(C29)</x:f>
        <x:v>24</x:v>
      </x:c>
      <x:c r="E29" s="2" t="n">
        <x:v>30</x:v>
      </x:c>
      <x:c r="F29" s="2" t="str">
        <x:f>IF(D29&lt;=E29,"Within limit","SHORTEN COPY")</x:f>
        <x:v>Within limit</x:v>
      </x:c>
    </x:row>
    <x:row r="30" ht="31" customHeight="1">
      <x:c r="A30" s="2"/>
      <x:c r="B30" s="2" t="str">
        <x:v>Headline 4</x:v>
      </x:c>
      <x:c r="C30" s="12" t="str">
        <x:v>A Personal Report Included</x:v>
      </x:c>
      <x:c r="D30" s="2" t="n">
        <x:f>LEN(C30)</x:f>
        <x:v>26</x:v>
      </x:c>
      <x:c r="E30" s="2" t="n">
        <x:v>30</x:v>
      </x:c>
      <x:c r="F30" s="2" t="str">
        <x:f>IF(D30&lt;=E30,"Within limit","SHORTEN COPY")</x:f>
        <x:v>Within limit</x:v>
      </x:c>
    </x:row>
    <x:row r="31" ht="31" customHeight="1">
      <x:c r="A31" s="2"/>
      <x:c r="B31" s="2" t="str">
        <x:v>Headline 5</x:v>
      </x:c>
      <x:c r="C31" s="12" t="str">
        <x:v>Talk Through The Next Step</x:v>
      </x:c>
      <x:c r="D31" s="2" t="n">
        <x:f>LEN(C31)</x:f>
        <x:v>26</x:v>
      </x:c>
      <x:c r="E31" s="2" t="n">
        <x:v>30</x:v>
      </x:c>
      <x:c r="F31" s="2" t="str">
        <x:f>IF(D31&lt;=E31,"Within limit","SHORTEN COPY")</x:f>
        <x:v>Within limit</x:v>
      </x:c>
    </x:row>
    <x:row r="32" ht="31" customHeight="1">
      <x:c r="A32" s="2"/>
      <x:c r="B32" s="2" t="str">
        <x:v>Headline 6</x:v>
      </x:c>
      <x:c r="C32" s="12" t="str">
        <x:v>Hands-On Discovery Session</x:v>
      </x:c>
      <x:c r="D32" s="2" t="n">
        <x:f>LEN(C32)</x:f>
        <x:v>26</x:v>
      </x:c>
      <x:c r="E32" s="2" t="n">
        <x:v>30</x:v>
      </x:c>
      <x:c r="F32" s="2" t="str">
        <x:f>IF(D32&lt;=E32,"Within limit","SHORTEN COPY")</x:f>
        <x:v>Within limit</x:v>
      </x:c>
    </x:row>
    <x:row r="33" ht="31" customHeight="1">
      <x:c r="A33" s="2"/>
      <x:c r="B33" s="2" t="str">
        <x:v>Headline 7</x:v>
      </x:c>
      <x:c r="C33" s="12" t="str">
        <x:v>Novena Or Katong</x:v>
      </x:c>
      <x:c r="D33" s="2" t="n">
        <x:f>LEN(C33)</x:f>
        <x:v>16</x:v>
      </x:c>
      <x:c r="E33" s="2" t="n">
        <x:v>30</x:v>
      </x:c>
      <x:c r="F33" s="2" t="str">
        <x:f>IF(D33&lt;=E33,"Within limit","SHORTEN COPY")</x:f>
        <x:v>Within limit</x:v>
      </x:c>
    </x:row>
    <x:row r="34" ht="31" customHeight="1">
      <x:c r="A34" s="2"/>
      <x:c r="B34" s="2" t="str">
        <x:v>Headline 8</x:v>
      </x:c>
      <x:c r="C34" s="12" t="str">
        <x:v>Activity And Parent Feedback</x:v>
      </x:c>
      <x:c r="D34" s="2" t="n">
        <x:f>LEN(C34)</x:f>
        <x:v>28</x:v>
      </x:c>
      <x:c r="E34" s="2" t="n">
        <x:v>30</x:v>
      </x:c>
      <x:c r="F34" s="2" t="str">
        <x:f>IF(D34&lt;=E34,"Within limit","SHORTEN COPY")</x:f>
        <x:v>Within limit</x:v>
      </x:c>
    </x:row>
    <x:row r="35" ht="31" customHeight="1">
      <x:c r="A35" s="2"/>
      <x:c r="B35" s="2" t="str">
        <x:v>Headline 9</x:v>
      </x:c>
      <x:c r="C35" s="12" t="str">
        <x:v>Discover Their Starting Point</x:v>
      </x:c>
      <x:c r="D35" s="2" t="n">
        <x:f>LEN(C35)</x:f>
        <x:v>29</x:v>
      </x:c>
      <x:c r="E35" s="2" t="n">
        <x:v>30</x:v>
      </x:c>
      <x:c r="F35" s="2" t="str">
        <x:f>IF(D35&lt;=E35,"Within limit","SHORTEN COPY")</x:f>
        <x:v>Within limit</x:v>
      </x:c>
    </x:row>
    <x:row r="36" ht="31" customHeight="1">
      <x:c r="A36" s="2"/>
      <x:c r="B36" s="2" t="str">
        <x:v>Headline 10</x:v>
      </x:c>
      <x:c r="C36" s="12" t="str">
        <x:v>Ask Our Team About RDA</x:v>
      </x:c>
      <x:c r="D36" s="2" t="n">
        <x:f>LEN(C36)</x:f>
        <x:v>22</x:v>
      </x:c>
      <x:c r="E36" s="2" t="n">
        <x:v>30</x:v>
      </x:c>
      <x:c r="F36" s="2" t="str">
        <x:f>IF(D36&lt;=E36,"Within limit","SHORTEN COPY")</x:f>
        <x:v>Within limit</x:v>
      </x:c>
    </x:row>
    <x:row r="37" ht="31" customHeight="1">
      <x:c r="A37" s="2"/>
      <x:c r="B37" s="2" t="str">
        <x:v>Description 1</x:v>
      </x:c>
      <x:c r="C37" s="12" t="str">
        <x:v>See how your child approaches a hands-on activity. Discuss the next step with our team.</x:v>
      </x:c>
      <x:c r="D37" s="2" t="n">
        <x:f>LEN(C37)</x:f>
        <x:v>87</x:v>
      </x:c>
      <x:c r="E37" s="2" t="n">
        <x:v>90</x:v>
      </x:c>
      <x:c r="F37" s="2" t="str">
        <x:f>IF(D37&lt;=E37,"Within limit","SHORTEN COPY")</x:f>
        <x:v>Within limit</x:v>
      </x:c>
    </x:row>
    <x:row r="38" ht="31" customHeight="1">
      <x:c r="A38" s="2"/>
      <x:c r="B38" s="2" t="str">
        <x:v>Description 2</x:v>
      </x:c>
      <x:c r="C38" s="12" t="str">
        <x:v>A 45-minute activity, 15-minute parent consultation and personal report for S$30.</x:v>
      </x:c>
      <x:c r="D38" s="2" t="n">
        <x:f>LEN(C38)</x:f>
        <x:v>81</x:v>
      </x:c>
      <x:c r="E38" s="2" t="n">
        <x:v>90</x:v>
      </x:c>
      <x:c r="F38" s="2" t="str">
        <x:f>IF(D38&lt;=E38,"Within limit","SHORTEN COPY")</x:f>
        <x:v>Within limit</x:v>
      </x:c>
    </x:row>
    <x:row r="39" ht="31" customHeight="1">
      <x:c r="A39" s="2"/>
      <x:c r="B39" s="2" t="str">
        <x:v>Description 3</x:v>
      </x:c>
      <x:c r="C39" s="12" t="str">
        <x:v>Explore robotics at Novena or Katong. Contact our team to confirm session availability.</x:v>
      </x:c>
      <x:c r="D39" s="2" t="n">
        <x:f>LEN(C39)</x:f>
        <x:v>87</x:v>
      </x:c>
      <x:c r="E39" s="2" t="n">
        <x:v>90</x:v>
      </x:c>
      <x:c r="F39" s="2" t="str">
        <x:f>IF(D39&lt;=E39,"Within limit","SHORTEN COPY")</x:f>
        <x:v>Within limit</x:v>
      </x:c>
    </x:row>
    <x:row r="40" ht="31" customHeight="1">
      <x:c r="A40" s="2"/>
      <x:c r="B40" s="2" t="str">
        <x:v>Description 4</x:v>
      </x:c>
      <x:c r="C40" s="12" t="str">
        <x:v>A discovery session for parents considering robotics. Learn more about the RDA.</x:v>
      </x:c>
      <x:c r="D40" s="2" t="n">
        <x:f>LEN(C40)</x:f>
        <x:v>79</x:v>
      </x:c>
      <x:c r="E40" s="2" t="n">
        <x:v>90</x:v>
      </x:c>
      <x:c r="F40" s="2" t="str">
        <x:f>IF(D40&lt;=E40,"Within limit","SHORTEN COPY")</x:f>
        <x:v>Within limit</x:v>
      </x:c>
    </x:row>
    <x:row r="41" ht="26" customHeight="1">
      <x:c r="A41" s="2"/>
      <x:c r="B41" s="2"/>
      <x:c r="C41" s="2"/>
      <x:c r="D41" s="2"/>
      <x:c r="E41" s="2"/>
      <x:c r="F41" s="2"/>
    </x:row>
    <x:row r="42" ht="26" customHeight="1">
      <x:c r="A42" s="2"/>
      <x:c r="B42" s="2"/>
      <x:c r="C42" s="2"/>
      <x:c r="D42" s="2"/>
      <x:c r="E42" s="2"/>
      <x:c r="F42" s="2"/>
    </x:row>
    <x:row r="43" ht="26" customHeight="1">
      <x:c r="A43" s="2"/>
      <x:c r="B43" s="2"/>
      <x:c r="C43" s="2"/>
      <x:c r="D43" s="2"/>
      <x:c r="E43" s="2"/>
      <x:c r="F43" s="2"/>
    </x:row>
    <x:row r="44" ht="65" customHeight="1">
      <x:c r="A44" s="2"/>
      <x:c r="B44" s="35" t="str">
        <x:v>Draft review</x:v>
      </x:c>
      <x:c r="C44" s="36" t="str">
        <x:v>Draft assets for approval. Confirm all offer wording and capacity. Both concepts use the same offer; asset reports alone do not establish a controlled A/B winner. Do not add guaranteed learning outcomes or fabricated testimonials.</x:v>
      </x:c>
      <x:c r="D44" s="2"/>
      <x:c r="E44" s="2"/>
      <x:c r="F44" s="2"/>
    </x:row>
    <x:row r="45" ht="26" customHeight="1">
      <x:c r="A45" s="2"/>
      <x:c r="B45" s="2"/>
      <x:c r="C45" s="2"/>
      <x:c r="D45" s="2"/>
      <x:c r="E45" s="2"/>
      <x:c r="F45" s="2"/>
    </x:row>
    <x:row r="46" ht="26" customHeight="1">
      <x:c r="A46" s="2"/>
      <x:c r="B46" s="2"/>
      <x:c r="C46" s="2"/>
      <x:c r="D46" s="2"/>
      <x:c r="E46" s="2"/>
      <x:c r="F46" s="2"/>
    </x:row>
    <x:row r="47" ht="26" customHeight="1">
      <x:c r="A47" s="2"/>
      <x:c r="B47" s="35" t="str">
        <x:v>Source for limits</x:v>
      </x:c>
      <x:c r="C47" s="35" t="str">
        <x:v>https://support.google.com/google-ads/answer/7684791?hl=en</x:v>
      </x:c>
      <x:c r="D47" s="2"/>
      <x:c r="E47" s="2"/>
      <x:c r="F47" s="2"/>
    </x:row>
    <x:row r="48" ht="26" customHeight="1">
      <x:c r="A48" s="2"/>
      <x:c r="B48" s="35" t="str">
        <x:v>Destination</x:v>
      </x:c>
      <x:c r="C48" s="35" t="str">
        <x:v>https://www.metarobotics.sg/rda.html</x:v>
      </x:c>
      <x:c r="D48" s="2"/>
      <x:c r="E48" s="2"/>
      <x:c r="F48" s="2"/>
    </x:row>
    <x:row r="49" ht="26" customHeight="1">
      <x:c r="A49" s="2"/>
      <x:c r="B49" s="2"/>
      <x:c r="C49" s="2"/>
      <x:c r="D49" s="2"/>
      <x:c r="E49" s="2"/>
      <x:c r="F49" s="2"/>
    </x:row>
  </x:sheetData>
  <x:conditionalFormatting sqref="F9:F22">
    <x:cfRule type="containsText" dxfId="5" priority="1" operator="containsText" text="SHORTEN"/>
  </x:conditionalFormatting>
  <x:conditionalFormatting sqref="F27:F40">
    <x:cfRule type="containsText" dxfId="6" priority="2" operator="containsText" text="SHORTEN"/>
  </x:conditionalFormatting>
  <x:pageMargins left="0.7" right="0.7" top="0.75" bottom="0.75" header="0.3" footer="0.3"/>
</x:worksheet>
</file>