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4c24ebb20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economics" sheetId="1" r:id="R53e1b95caeee41b5"/>
    <x:sheet xmlns:r="http://schemas.openxmlformats.org/officeDocument/2006/relationships" name="Search launch" sheetId="2" r:id="Rf2052ba1ad4146ef"/>
    <x:sheet xmlns:r="http://schemas.openxmlformats.org/officeDocument/2006/relationships" name="Ad copy" sheetId="3" r:id="Re73c564da045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S$&quot;#,##0.00;(&quot;S$&quot;#,##0.00);&quot;–&quot;"/>
    <x:numFmt numFmtId="201" formatCode="0.0%"/>
    <x:numFmt numFmtId="202" formatCode="#,##0;(#,##0);&quot;–&quot;"/>
    <x:numFmt numFmtId="203" formatCode="@"/>
  </x:numFmts>
  <x:fonts count="10">
    <x:font>
      <x:sz val="11"/>
      <x:name val="Carlito"/>
    </x:font>
    <x:font>
      <x:sz val="11"/>
      <x:color rgb="FF142239"/>
      <x:name val="Arial"/>
    </x:font>
    <x:font>
      <x:b/>
      <x:sz val="16"/>
      <x:color rgb="FF142239"/>
      <x:name val="Arial"/>
    </x:font>
    <x:font>
      <x:sz val="11"/>
      <x:color rgb="FF2456E8"/>
      <x:name val="Arial"/>
    </x:font>
    <x:font>
      <x:sz val="10"/>
      <x:color rgb="FF526174"/>
      <x:name val="Arial"/>
    </x:font>
    <x:font>
      <x:b/>
      <x:sz val="11"/>
      <x:color rgb="FF00804A"/>
      <x:name val="Arial"/>
    </x:font>
    <x:font>
      <x:b/>
      <x:sz val="11"/>
      <x:color rgb="FFFFFFFF"/>
      <x:name val="Arial"/>
    </x:font>
    <x:font>
      <x:b/>
      <x:sz val="11"/>
      <x:color rgb="FF142239"/>
      <x:name val="Arial"/>
    </x:font>
    <x:font>
      <x:b/>
      <x:sz val="10"/>
      <x:color rgb="FF142239"/>
      <x:name val="Arial"/>
    </x:font>
    <x:font>
      <x:sz val="11"/>
      <x:color rgb="FF0080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F"/>
      </x:patternFill>
    </x:fill>
    <x:fill>
      <x:patternFill patternType="solid">
        <x:fgColor rgb="FF142239"/>
      </x:patternFill>
    </x:fill>
    <x:fill>
      <x:patternFill patternType="solid">
        <x:fgColor rgb="FFEAF0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CC7D6"/>
      </x:bottom>
      <x:diagonal/>
    </x:border>
    <x:border>
      <x:left style="dashed">
        <x:color rgb="FF8193AA"/>
      </x:left>
      <x:right style="dashed">
        <x:color rgb="FF8193AA"/>
      </x:right>
      <x:top style="dashed">
        <x:color rgb="FF8193AA"/>
      </x:top>
      <x:bottom style="dashed">
        <x:color rgb="FF8193AA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3" fontId="8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A32424"/>
      </x:font>
      <x:fill>
        <x:patternFill patternType="solid">
          <x:bgColor rgb="FFFCE9E9"/>
        </x:patternFill>
      </x:fill>
    </x:dxf>
    <x:dxf>
      <x:font>
        <x:b/>
        <x:color rgb="FFA32424"/>
      </x:font>
      <x:fill>
        <x:patternFill patternType="solid">
          <x:bgColor rgb="FFFCE9E9"/>
        </x:patternFill>
      </x:fill>
    </x:dxf>
    <x:dxf>
      <x:font>
        <x:color rgb="FFA32424"/>
      </x:font>
      <x:fill>
        <x:patternFill patternType="solid">
          <x:bgColor rgb="FFFCE9E9"/>
        </x:patternFill>
      </x:fill>
    </x:dxf>
    <x:dxf>
      <x:font>
        <x:color rgb="FFA32424"/>
      </x:font>
      <x:fill>
        <x:patternFill patternType="solid">
          <x:bgColor rgb="FFFCE9E9"/>
        </x:patternFill>
      </x:fill>
    </x:dxf>
    <x:dxf>
      <x:font>
        <x:b/>
        <x:color rgb="FFA32424"/>
      </x:font>
      <x:fill>
        <x:patternFill patternType="solid">
          <x:bgColor rgb="FFFCE9E9"/>
        </x:patternFill>
      </x:fill>
    </x:dxf>
    <x:dxf>
      <x:font>
        <x:b/>
        <x:color rgb="FFA32424"/>
      </x:font>
      <x:fill>
        <x:patternFill patternType="solid">
          <x:bgColor rgb="FFFCE9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c907339ca4b72" /><Relationship Type="http://schemas.openxmlformats.org/officeDocument/2006/relationships/theme" Target="/xl/theme/theme1.xml" Id="R96e5366e43f14408" /><Relationship Type="http://schemas.openxmlformats.org/officeDocument/2006/relationships/sharedStrings" Target="/xl/sharedStrings.xml" Id="R52870a3d497a44b8" /><Relationship Type="http://schemas.openxmlformats.org/officeDocument/2006/relationships/worksheet" Target="/xl/worksheets/sheet1.xml" Id="R53e1b95caeee41b5" /><Relationship Type="http://schemas.openxmlformats.org/officeDocument/2006/relationships/worksheet" Target="/xl/worksheets/sheet2.xml" Id="Rf2052ba1ad4146ef" /><Relationship Type="http://schemas.openxmlformats.org/officeDocument/2006/relationships/worksheet" Target="/xl/worksheets/sheet3.xml" Id="Re73c564da045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239"/>
  </x:sheetPr>
  <x:sheetViews>
    <x:sheetView showGridLines="0" workbookViewId="0"/>
  </x:sheetViews>
  <x:sheetFormatPr defaultRowHeight="15"/>
  <x:cols>
    <x:col min="1" max="1" width="2.75" hidden="0" customWidth="1"/>
    <x:col min="2" max="2" width="36.5" hidden="0" customWidth="1"/>
    <x:col min="3" max="3" width="20.75" hidden="0" customWidth="1"/>
    <x:col min="4" max="4" width="3.75" hidden="0" customWidth="1"/>
    <x:col min="5" max="5" width="31" hidden="0" customWidth="1"/>
    <x:col min="6" max="6" width="15.75" hidden="0" customWidth="1"/>
    <x:col min="7" max="7" width="3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Meta Robotics pilot economics</x:v>
      </x:c>
      <x:c r="C2" s="2"/>
      <x:c r="D2" s="2"/>
      <x:c r="E2" s="2"/>
      <x:c r="F2" s="2"/>
      <x:c r="G2" s="2"/>
    </x:row>
    <x:row r="3" ht="24" customHeight="1">
      <x:c r="A3" s="2"/>
      <x:c r="B3" s="4"/>
      <x:c r="C3" s="4"/>
      <x:c r="D3" s="4"/>
      <x:c r="E3" s="4"/>
      <x:c r="F3" s="4"/>
      <x:c r="G3" s="4"/>
    </x:row>
    <x:row r="4" ht="24" customHeight="1">
      <x:c r="A4" s="2"/>
      <x:c r="B4" s="2" t="str">
        <x:v>Case selected</x:v>
      </x:c>
      <x:c r="C4" s="10" t="str">
        <x:f>IF(NOT(ISNUMBER(F4)),"Choose 1-3",IF(OR(F4&lt;1,F4&gt;3,F4&lt;&gt;INT(F4)),"Choose 1-3",CHOOSE(F4,"Downside","Base","Upside")))</x:f>
        <x:v>Base</x:v>
      </x:c>
      <x:c r="D4" s="2"/>
      <x:c r="E4" s="2" t="str">
        <x:v>Choose case</x:v>
      </x:c>
      <x:c r="F4" s="6" t="n">
        <x:v>2</x:v>
      </x:c>
      <x:c r="G4" s="7" t="str">
        <x:v>1 Downside   2 Base   3 Upside</x:v>
      </x:c>
    </x:row>
    <x:row r="5" ht="24" customHeight="1">
      <x:c r="A5" s="2"/>
      <x:c r="B5" s="7" t="str">
        <x:v>Proposal dated 26 Oct 2026. No actual campaign results.</x:v>
      </x:c>
      <x:c r="C5" s="2"/>
      <x:c r="D5" s="2"/>
      <x:c r="E5" s="2"/>
      <x:c r="F5" s="2"/>
      <x:c r="G5" s="2"/>
    </x:row>
    <x:row r="6" ht="28" customHeight="1">
      <x:c r="A6" s="2"/>
      <x:c r="B6" s="12" t="str">
        <x:v>Pilot outcome</x:v>
      </x:c>
      <x:c r="C6" s="12" t="str">
        <x:v>Selected case</x:v>
      </x:c>
      <x:c r="D6" s="2"/>
      <x:c r="E6" s="2"/>
      <x:c r="F6" s="2"/>
      <x:c r="G6" s="2"/>
    </x:row>
    <x:row r="7" ht="28" customHeight="1">
      <x:c r="A7" s="2"/>
      <x:c r="B7" s="2" t="str">
        <x:v>Input validity</x:v>
      </x:c>
      <x:c r="C7" s="2" t="str">
        <x:f>IF(OR(COUNT(F8:F17)&lt;&gt;10,COUNT(F20,F25,F30,F35,F40)&lt;&gt;5),"Missing input",IF(OR(MIN(F8:F17)&lt;0,F13&gt;=1,ABS(SUM(F15:F17)-1)&gt;0.000001,MIN(F20,F25,F30,F35,F40)&lt;0,F20&lt;F25,F25&lt;F30,F30&lt;F35,F35&lt;F40,F14&lt;&gt;INT(F14),F20&lt;&gt;INT(F20),F25&lt;&gt;INT(F25),F30&lt;&gt;INT(F30),F35&lt;&gt;INT(F35),F40&lt;&gt;INT(F40)),"Invalid input","Valid"))</x:f>
        <x:v>Valid</x:v>
      </x:c>
      <x:c r="D7" s="2"/>
      <x:c r="E7" s="12" t="str">
        <x:v>Editable assumptions</x:v>
      </x:c>
      <x:c r="F7" s="12" t="str">
        <x:v>Value</x:v>
      </x:c>
      <x:c r="G7" s="12" t="str">
        <x:v>Basis</x:v>
      </x:c>
    </x:row>
    <x:row r="8" ht="34" customHeight="1">
      <x:c r="A8" s="2"/>
      <x:c r="B8" s="18" t="str">
        <x:v>Media + fee + additional costs</x:v>
      </x:c>
      <x:c r="C8" s="29" t="n">
        <x:f>IF($C$7&lt;&gt;"Valid","n.a.",SUM(F8:F10))</x:f>
        <x:v>3500</x:v>
      </x:c>
      <x:c r="D8" s="2"/>
      <x:c r="E8" s="2" t="str">
        <x:v>Media ceiling</x:v>
      </x:c>
      <x:c r="F8" s="13" t="n">
        <x:v>1500</x:v>
      </x:c>
      <x:c r="G8" s="16" t="str">
        <x:v>Four-week pilot</x:v>
      </x:c>
    </x:row>
    <x:row r="9" ht="34" customHeight="1">
      <x:c r="A9" s="2"/>
      <x:c r="B9" s="2" t="str">
        <x:v>Net paid bookings</x:v>
      </x:c>
      <x:c r="C9" s="25" t="n">
        <x:f>IF($C$7&lt;&gt;"Valid","n.a.",F30)</x:f>
        <x:v>40</x:v>
      </x:c>
      <x:c r="D9" s="2"/>
      <x:c r="E9" s="2" t="str">
        <x:v>One month management fee</x:v>
      </x:c>
      <x:c r="F9" s="13" t="n">
        <x:v>2000</x:v>
      </x:c>
      <x:c r="G9" s="16" t="str">
        <x:v>20 hours/week; no implicit extension</x:v>
      </x:c>
    </x:row>
    <x:row r="10" ht="34" customHeight="1">
      <x:c r="A10" s="2"/>
      <x:c r="B10" s="2" t="str">
        <x:v>New enrolments</x:v>
      </x:c>
      <x:c r="C10" s="25" t="n">
        <x:f>IF($C$7&lt;&gt;"Valid","n.a.",F40)</x:f>
        <x:v>8</x:v>
      </x:c>
      <x:c r="D10" s="2"/>
      <x:c r="E10" s="2" t="str">
        <x:v>Additional pilot costs</x:v>
      </x:c>
      <x:c r="F10" s="13" t="n">
        <x:v>0</x:v>
      </x:c>
      <x:c r="G10" s="16" t="str">
        <x:v>Allowance only; replace with quoted costs</x:v>
      </x:c>
    </x:row>
    <x:row r="11" ht="34" customHeight="1">
      <x:c r="A11" s="2"/>
      <x:c r="B11" s="2" t="str">
        <x:v>Media / qualified enquiry</x:v>
      </x:c>
      <x:c r="C11" s="24" t="n">
        <x:f>IF($C$7&lt;&gt;"Valid","n.a.",IF(F25=0,"n.a.",F8/F25))</x:f>
        <x:v>21.428571428571427</x:v>
      </x:c>
      <x:c r="D11" s="2"/>
      <x:c r="E11" s="2" t="str">
        <x:v>Net contribution / RDA</x:v>
      </x:c>
      <x:c r="F11" s="13" t="n">
        <x:v>10</x:v>
      </x:c>
      <x:c r="G11" s="16" t="str">
        <x:v>Assumed after variable cost and refunds</x:v>
      </x:c>
    </x:row>
    <x:row r="12" ht="34" customHeight="1">
      <x:c r="A12" s="2"/>
      <x:c r="B12" s="2" t="str">
        <x:v>Media / paid booking</x:v>
      </x:c>
      <x:c r="C12" s="24" t="n">
        <x:f>IF($C$7&lt;&gt;"Valid","n.a.",IF(F30=0,"n.a.",F8/F30))</x:f>
        <x:v>37.5</x:v>
      </x:c>
      <x:c r="D12" s="2"/>
      <x:c r="E12" s="2" t="str">
        <x:v>Net contribution / course</x:v>
      </x:c>
      <x:c r="F12" s="13" t="n">
        <x:v>500</x:v>
      </x:c>
      <x:c r="G12" s="16" t="str">
        <x:v>Assumed over first 90 days; not tuition</x:v>
      </x:c>
    </x:row>
    <x:row r="13" ht="34" customHeight="1">
      <x:c r="A13" s="2"/>
      <x:c r="B13" s="2" t="str">
        <x:v>Pilot costs / enrolment</x:v>
      </x:c>
      <x:c r="C13" s="24" t="n">
        <x:f>IF($C$7&lt;&gt;"Valid","n.a.",IF(F40=0,"n.a.",C8/F40))</x:f>
        <x:v>437.5</x:v>
      </x:c>
      <x:c r="D13" s="2"/>
      <x:c r="E13" s="2" t="str">
        <x:v>Contribution reserve</x:v>
      </x:c>
      <x:c r="F13" s="14" t="n">
        <x:v>0.2</x:v>
      </x:c>
      <x:c r="G13" s="16" t="str">
        <x:v>Planning reserve, not a confidence interval</x:v>
      </x:c>
    </x:row>
    <x:row r="14" ht="34" customHeight="1">
      <x:c r="A14" s="2"/>
      <x:c r="B14" s="2" t="str">
        <x:v>Contribution before marketing</x:v>
      </x:c>
      <x:c r="C14" s="24" t="n">
        <x:f>IF($C$7&lt;&gt;"Valid","n.a.",F30*F11+F40*F12)</x:f>
        <x:v>4400</x:v>
      </x:c>
      <x:c r="D14" s="2"/>
      <x:c r="E14" s="2" t="str">
        <x:v>Available RDA places</x:v>
      </x:c>
      <x:c r="F14" s="15" t="n">
        <x:v>60</x:v>
      </x:c>
      <x:c r="G14" s="16" t="str">
        <x:v>Assumed capacity; confirm before launch</x:v>
      </x:c>
    </x:row>
    <x:row r="15" ht="34" customHeight="1">
      <x:c r="A15" s="2"/>
      <x:c r="B15" s="2" t="str">
        <x:v>After pilot costs</x:v>
      </x:c>
      <x:c r="C15" s="24" t="n">
        <x:f>IF($C$7&lt;&gt;"Valid","n.a.",C14-C8)</x:f>
        <x:v>900</x:v>
      </x:c>
      <x:c r="D15" s="2"/>
      <x:c r="E15" s="2" t="str">
        <x:v>Meta acquisition share</x:v>
      </x:c>
      <x:c r="F15" s="14" t="n">
        <x:v>0.6</x:v>
      </x:c>
      <x:c r="G15" s="16" t="str">
        <x:v>Move remarketing here if audience ineligible</x:v>
      </x:c>
    </x:row>
    <x:row r="16" ht="34" customHeight="1">
      <x:c r="A16" s="2"/>
      <x:c r="B16" s="2" t="str">
        <x:v>Contribution reserve</x:v>
      </x:c>
      <x:c r="C16" s="24" t="n">
        <x:f>IF($C$7&lt;&gt;"Valid","n.a.",C14*F13)</x:f>
        <x:v>880</x:v>
      </x:c>
      <x:c r="D16" s="2"/>
      <x:c r="E16" s="2" t="str">
        <x:v>Google Search share</x:v>
      </x:c>
      <x:c r="F16" s="14" t="n">
        <x:v>0.3</x:v>
      </x:c>
      <x:c r="G16" s="16" t="str">
        <x:v>One narrow offer; brand reported separately</x:v>
      </x:c>
    </x:row>
    <x:row r="17" ht="34" customHeight="1">
      <x:c r="A17" s="2"/>
      <x:c r="B17" s="18" t="str">
        <x:v>After reserve and pilot costs</x:v>
      </x:c>
      <x:c r="C17" s="29" t="n">
        <x:f>IF($C$7&lt;&gt;"Valid","n.a.",C15-C16)</x:f>
        <x:v>20</x:v>
      </x:c>
      <x:c r="D17" s="2"/>
      <x:c r="E17" s="2" t="str">
        <x:v>Remarketing share</x:v>
      </x:c>
      <x:c r="F17" s="14" t="n">
        <x:v>0.1</x:v>
      </x:c>
      <x:c r="G17" s="16" t="str">
        <x:v>Only eligible, appropriately consented audience</x:v>
      </x:c>
    </x:row>
    <x:row r="18" ht="34" customHeight="1">
      <x:c r="A18" s="2"/>
      <x:c r="B18" s="2" t="str">
        <x:v>Course contribution to break even</x:v>
      </x:c>
      <x:c r="C18" s="24" t="n">
        <x:f>IF($C$7&lt;&gt;"Valid","n.a.",IF(F40=0,"n.a.",MAX(0,(C8/(1-F13)-F30*F11)/F40)))</x:f>
        <x:v>496.875</x:v>
      </x:c>
      <x:c r="D18" s="2"/>
      <x:c r="E18" s="2"/>
      <x:c r="F18" s="2"/>
      <x:c r="G18" s="2"/>
    </x:row>
    <x:row r="19" ht="34" customHeight="1">
      <x:c r="A19" s="2"/>
      <x:c r="B19" s="2" t="str">
        <x:v>Blended paid CPA ceiling</x:v>
      </x:c>
      <x:c r="C19" s="24" t="n">
        <x:f>IF($C$7&lt;&gt;"Valid","n.a.",IF(F30=0,"n.a.",(1-F13)*(F11+F40/F30*F12)-(F9+F10)/F30))</x:f>
        <x:v>38</x:v>
      </x:c>
      <x:c r="D19" s="2"/>
      <x:c r="E19" s="2"/>
      <x:c r="F19" s="2"/>
      <x:c r="G19" s="2"/>
    </x:row>
    <x:row r="20" ht="34" customHeight="1">
      <x:c r="A20" s="2"/>
      <x:c r="B20" s="2" t="str">
        <x:v>Paid booking to attendance</x:v>
      </x:c>
      <x:c r="C20" s="26" t="n">
        <x:f>IF($C$7&lt;&gt;"Valid","n.a.",IF(F30=0,"n.a.",F35/F30))</x:f>
        <x:v>0.8</x:v>
      </x:c>
      <x:c r="D20" s="2"/>
      <x:c r="E20" s="18" t="str">
        <x:v>Received enquiries: active</x:v>
      </x:c>
      <x:c r="F20" s="19" t="n">
        <x:f>IF(NOT(ISNUMBER($F$4)),"missing",IF(OR($F$4&lt;1,$F$4&gt;3,$F$4&lt;&gt;INT($F$4)),"missing",IF(CHOOSE($F$4,ISNUMBER(F21),ISNUMBER(F22),ISNUMBER(F23)),CHOOSE($F$4,F21,F22,F23),"missing")))</x:f>
        <x:v>100</x:v>
      </x:c>
      <x:c r="G20" s="2"/>
    </x:row>
    <x:row r="21" ht="34" customHeight="1">
      <x:c r="A21" s="2"/>
      <x:c r="B21" s="2" t="str">
        <x:v>Attendance to enrolment</x:v>
      </x:c>
      <x:c r="C21" s="26" t="n">
        <x:f>IF($C$7&lt;&gt;"Valid","n.a.",IF(F35=0,"n.a.",F40/F35))</x:f>
        <x:v>0.25</x:v>
      </x:c>
      <x:c r="D21" s="2"/>
      <x:c r="E21" s="2" t="str">
        <x:v>Downside</x:v>
      </x:c>
      <x:c r="F21" s="15" t="n">
        <x:v>65</x:v>
      </x:c>
      <x:c r="G21" s="2"/>
    </x:row>
    <x:row r="22" ht="34" customHeight="1">
      <x:c r="A22" s="2"/>
      <x:c r="B22" s="2" t="str">
        <x:v>Remaining places</x:v>
      </x:c>
      <x:c r="C22" s="25" t="n">
        <x:f>IF($C$7&lt;&gt;"Valid","n.a.",F14-F30)</x:f>
        <x:v>20</x:v>
      </x:c>
      <x:c r="D22" s="2"/>
      <x:c r="E22" s="2" t="str">
        <x:v>Base</x:v>
      </x:c>
      <x:c r="F22" s="15" t="n">
        <x:v>100</x:v>
      </x:c>
      <x:c r="G22" s="2"/>
    </x:row>
    <x:row r="23" ht="34" customHeight="1">
      <x:c r="A23" s="2"/>
      <x:c r="B23" s="18" t="str">
        <x:v>Planning decision</x:v>
      </x:c>
      <x:c r="C23" s="30" t="str">
        <x:f>IF($C$7&lt;&gt;"Valid","n.a.",IF(C22&lt;0,"CHECK CAPACITY",IF(C17&lt;0,"REWORK ECONOMICS","VALIDATE MARGINS")))</x:f>
        <x:v>VALIDATE MARGINS</x:v>
      </x:c>
      <x:c r="D23" s="2"/>
      <x:c r="E23" s="2" t="str">
        <x:v>Upside</x:v>
      </x:c>
      <x:c r="F23" s="15" t="n">
        <x:v>130</x:v>
      </x:c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18" t="str">
        <x:v>Qualified enquiries: active</x:v>
      </x:c>
      <x:c r="F25" s="19" t="n">
        <x:f>IF(NOT(ISNUMBER($F$4)),"missing",IF(OR($F$4&lt;1,$F$4&gt;3,$F$4&lt;&gt;INT($F$4)),"missing",IF(CHOOSE($F$4,ISNUMBER(F26),ISNUMBER(F27),ISNUMBER(F28)),CHOOSE($F$4,F26,F27,F28),"missing")))</x:f>
        <x:v>70</x:v>
      </x:c>
      <x:c r="G25" s="2"/>
    </x:row>
    <x:row r="26" ht="24" customHeight="1">
      <x:c r="A26" s="2"/>
      <x:c r="B26" s="31" t="str">
        <x:v>How to use</x:v>
      </x:c>
      <x:c r="C26" s="2"/>
      <x:c r="D26" s="2"/>
      <x:c r="E26" s="2" t="str">
        <x:v>Downside</x:v>
      </x:c>
      <x:c r="F26" s="15" t="n">
        <x:v>42</x:v>
      </x:c>
      <x:c r="G26" s="2"/>
    </x:row>
    <x:row r="27" ht="24" customHeight="1">
      <x:c r="A27" s="2"/>
      <x:c r="B27" s="32" t="str">
        <x:v>Edit amber cells. Select a case, then test course contribution, fees and capacity. Outputs recalculate.</x:v>
      </x:c>
      <x:c r="C27" s="2"/>
      <x:c r="D27" s="2"/>
      <x:c r="E27" s="2" t="str">
        <x:v>Base</x:v>
      </x:c>
      <x:c r="F27" s="15" t="n">
        <x:v>70</x:v>
      </x:c>
      <x:c r="G27" s="2"/>
    </x:row>
    <x:row r="28" ht="24" customHeight="1">
      <x:c r="A28" s="2"/>
      <x:c r="B28" s="2"/>
      <x:c r="C28" s="2"/>
      <x:c r="D28" s="2"/>
      <x:c r="E28" s="2" t="str">
        <x:v>Upside</x:v>
      </x:c>
      <x:c r="F28" s="15" t="n">
        <x:v>95</x:v>
      </x:c>
      <x:c r="G28" s="2"/>
    </x:row>
    <x:row r="29" ht="24" customHeight="1">
      <x:c r="A29" s="2"/>
      <x:c r="B29" s="31" t="str">
        <x:v>Interpretation</x:v>
      </x:c>
      <x:c r="C29" s="2"/>
      <x:c r="D29" s="2"/>
      <x:c r="E29" s="2"/>
      <x:c r="F29" s="2"/>
      <x:c r="G29" s="2"/>
    </x:row>
    <x:row r="30" ht="24" customHeight="1">
      <x:c r="A30" s="2"/>
      <x:c r="B30" s="32" t="str">
        <x:v>A positive planning remainder is not launch approval. Validate margins, consent, tracking, demand and available places.</x:v>
      </x:c>
      <x:c r="C30" s="2"/>
      <x:c r="D30" s="2"/>
      <x:c r="E30" s="18" t="str">
        <x:v>Net paid bookings: active</x:v>
      </x:c>
      <x:c r="F30" s="19" t="n">
        <x:f>IF(NOT(ISNUMBER($F$4)),"missing",IF(OR($F$4&lt;1,$F$4&gt;3,$F$4&lt;&gt;INT($F$4)),"missing",IF(CHOOSE($F$4,ISNUMBER(F31),ISNUMBER(F32),ISNUMBER(F33)),CHOOSE($F$4,F31,F32,F33),"missing")))</x:f>
        <x:v>40</x:v>
      </x:c>
      <x:c r="G30" s="2"/>
    </x:row>
    <x:row r="31" ht="24" customHeight="1">
      <x:c r="A31" s="2"/>
      <x:c r="B31" s="2"/>
      <x:c r="C31" s="2"/>
      <x:c r="D31" s="2"/>
      <x:c r="E31" s="2" t="str">
        <x:v>Downside</x:v>
      </x:c>
      <x:c r="F31" s="15" t="n">
        <x:v>24</x:v>
      </x:c>
      <x:c r="G31" s="2"/>
    </x:row>
    <x:row r="32" ht="24" customHeight="1">
      <x:c r="A32" s="2"/>
      <x:c r="B32" s="31" t="str">
        <x:v>Same acquisition cohort</x:v>
      </x:c>
      <x:c r="C32" s="2"/>
      <x:c r="D32" s="2"/>
      <x:c r="E32" s="2" t="str">
        <x:v>Base</x:v>
      </x:c>
      <x:c r="F32" s="15" t="n">
        <x:v>40</x:v>
      </x:c>
      <x:c r="G32" s="2"/>
    </x:row>
    <x:row r="33" ht="24" customHeight="1">
      <x:c r="A33" s="2"/>
      <x:c r="B33" s="32" t="str">
        <x:v>Acquire in weeks 2–4. Show pending at week 4. Close booking/enrolment outcomes 30 days after the last lead.</x:v>
      </x:c>
      <x:c r="C33" s="2"/>
      <x:c r="D33" s="2"/>
      <x:c r="E33" s="2" t="str">
        <x:v>Upside</x:v>
      </x:c>
      <x:c r="F33" s="15" t="n">
        <x:v>55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31" t="str">
        <x:v>Contribution horizon</x:v>
      </x:c>
      <x:c r="C35" s="2"/>
      <x:c r="D35" s="2"/>
      <x:c r="E35" s="18" t="str">
        <x:v>Attendances: active</x:v>
      </x:c>
      <x:c r="F35" s="19" t="n">
        <x:f>IF(NOT(ISNUMBER($F$4)),"missing",IF(OR($F$4&lt;1,$F$4&gt;3,$F$4&lt;&gt;INT($F$4)),"missing",IF(CHOOSE($F$4,ISNUMBER(F36),ISNUMBER(F37),ISNUMBER(F38)),CHOOSE($F$4,F36,F37,F38),"missing")))</x:f>
        <x:v>32</x:v>
      </x:c>
      <x:c r="G35" s="2"/>
    </x:row>
    <x:row r="36" ht="24" customHeight="1">
      <x:c r="A36" s="2"/>
      <x:c r="B36" s="32" t="str">
        <x:v>Course contribution covers the first 90 days per enrolment, net of delivery cost and refunds. Avoid double-counting RDA credited to tuition.</x:v>
      </x:c>
      <x:c r="C36" s="2"/>
      <x:c r="D36" s="2"/>
      <x:c r="E36" s="2" t="str">
        <x:v>Downside</x:v>
      </x:c>
      <x:c r="F36" s="15" t="n">
        <x:v>18</x:v>
      </x:c>
      <x:c r="G36" s="2"/>
    </x:row>
    <x:row r="37" ht="24" customHeight="1">
      <x:c r="A37" s="2"/>
      <x:c r="B37" s="2"/>
      <x:c r="C37" s="2"/>
      <x:c r="D37" s="2"/>
      <x:c r="E37" s="2" t="str">
        <x:v>Base</x:v>
      </x:c>
      <x:c r="F37" s="15" t="n">
        <x:v>32</x:v>
      </x:c>
      <x:c r="G37" s="2"/>
    </x:row>
    <x:row r="38" ht="24" customHeight="1">
      <x:c r="A38" s="2"/>
      <x:c r="B38" s="31" t="str">
        <x:v>Cost boundary</x:v>
      </x:c>
      <x:c r="C38" s="2"/>
      <x:c r="D38" s="2"/>
      <x:c r="E38" s="2" t="str">
        <x:v>Upside</x:v>
      </x:c>
      <x:c r="F38" s="15" t="n">
        <x:v>47</x:v>
      </x:c>
      <x:c r="G38" s="2"/>
    </x:row>
    <x:row r="39" ht="24" customHeight="1">
      <x:c r="A39" s="2"/>
      <x:c r="B39" s="32" t="str">
        <x:v>Fixed overhead is excluded. Put extra creative, tools and nonrecoverable costs into Additional pilot costs. No revenue or ROAS claim.</x:v>
      </x:c>
      <x:c r="C39" s="2"/>
      <x:c r="D39" s="2"/>
      <x:c r="E39" s="2"/>
      <x:c r="F39" s="2"/>
      <x:c r="G39" s="2"/>
    </x:row>
    <x:row r="40" ht="24" customHeight="1">
      <x:c r="A40" s="2"/>
      <x:c r="B40" s="2"/>
      <x:c r="C40" s="2"/>
      <x:c r="D40" s="2"/>
      <x:c r="E40" s="18" t="str">
        <x:v>New enrolments: active</x:v>
      </x:c>
      <x:c r="F40" s="19" t="n">
        <x:f>IF(NOT(ISNUMBER($F$4)),"missing",IF(OR($F$4&lt;1,$F$4&gt;3,$F$4&lt;&gt;INT($F$4)),"missing",IF(CHOOSE($F$4,ISNUMBER(F41),ISNUMBER(F42),ISNUMBER(F43)),CHOOSE($F$4,F41,F42,F43),"missing")))</x:f>
        <x:v>8</x:v>
      </x:c>
      <x:c r="G40" s="2"/>
    </x:row>
    <x:row r="41" ht="24" customHeight="1">
      <x:c r="A41" s="2"/>
      <x:c r="B41" s="31" t="str">
        <x:v>Planning ceiling</x:v>
      </x:c>
      <x:c r="C41" s="2"/>
      <x:c r="D41" s="2"/>
      <x:c r="E41" s="2" t="str">
        <x:v>Downside</x:v>
      </x:c>
      <x:c r="F41" s="15" t="n">
        <x:v>4</x:v>
      </x:c>
      <x:c r="G41" s="2"/>
    </x:row>
    <x:row r="42" ht="24" customHeight="1">
      <x:c r="A42" s="2"/>
      <x:c r="B42" s="32" t="str">
        <x:v>The CPA ceiling is blended across the pilot and includes the fee allocation. It is not a platform bid setting or a per-channel target.</x:v>
      </x:c>
      <x:c r="C42" s="2"/>
      <x:c r="D42" s="2"/>
      <x:c r="E42" s="2" t="str">
        <x:v>Base</x:v>
      </x:c>
      <x:c r="F42" s="15" t="n">
        <x:v>8</x:v>
      </x:c>
      <x:c r="G42" s="2"/>
    </x:row>
    <x:row r="43" ht="24" customHeight="1">
      <x:c r="A43" s="2"/>
      <x:c r="B43" s="2"/>
      <x:c r="C43" s="2"/>
      <x:c r="D43" s="2"/>
      <x:c r="E43" s="2" t="str">
        <x:v>Upside</x:v>
      </x:c>
      <x:c r="F43" s="15" t="n">
        <x:v>14</x:v>
      </x:c>
      <x:c r="G43" s="2"/>
    </x:row>
    <x:row r="44" ht="24" customHeight="1">
      <x:c r="A44" s="2"/>
      <x:c r="B44" s="2"/>
      <x:c r="C44" s="2"/>
      <x:c r="D44" s="2"/>
      <x:c r="E44" s="2"/>
      <x:c r="F44" s="2"/>
      <x:c r="G44" s="2"/>
    </x:row>
    <x:row r="45" ht="24" customHeight="1">
      <x:c r="A45" s="2"/>
      <x:c r="B45" s="31" t="str">
        <x:v>Source</x:v>
      </x:c>
      <x:c r="C45" s="2"/>
      <x:c r="D45" s="2"/>
      <x:c r="E45" s="2"/>
      <x:c r="F45" s="2"/>
      <x:c r="G45" s="2"/>
    </x:row>
    <x:row r="46" ht="24" customHeight="1">
      <x:c r="A46" s="2"/>
      <x:c r="B46" s="32" t="str">
        <x:v>Proposed assumptions chosen for this application on 26 Oct 2026. The published RDA offer is S$30; margins and capacity are unconfirmed.</x:v>
      </x:c>
      <x:c r="C46" s="2"/>
      <x:c r="D46" s="2"/>
      <x:c r="E46" s="7" t="str">
        <x:v>Offer source</x:v>
      </x:c>
      <x:c r="F46" s="2"/>
      <x:c r="G46" s="2"/>
    </x:row>
    <x:row r="47" ht="24" customHeight="1">
      <x:c r="A47" s="2"/>
      <x:c r="B47" s="2"/>
      <x:c r="C47" s="2"/>
      <x:c r="D47" s="2"/>
      <x:c r="E47" s="7" t="str">
        <x:v>https://www.metarobotics.sg/rda.html</x:v>
      </x:c>
      <x:c r="F47" s="2"/>
      <x:c r="G47" s="2"/>
    </x:row>
    <x:row r="48" ht="24" customHeight="1">
      <x:c r="A48" s="2"/>
      <x:c r="B48" s="2"/>
      <x:c r="C48" s="2"/>
      <x:c r="D48" s="2"/>
      <x:c r="E48" s="7" t="str">
        <x:v>Amber / blue: editable. Black: calculated. Currency: SGD.</x:v>
      </x:c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</x:sheetData>
  <x:mergeCells>
    <x:mergeCell ref="B27:C28"/>
    <x:mergeCell ref="B30:C31"/>
    <x:mergeCell ref="B33:C34"/>
    <x:mergeCell ref="B36:C37"/>
    <x:mergeCell ref="B39:C40"/>
    <x:mergeCell ref="B42:C43"/>
    <x:mergeCell ref="B46:C47"/>
  </x:mergeCells>
  <x:conditionalFormatting sqref="C15:C17">
    <x:cfRule type="cellIs" dxfId="0" priority="1" operator="lessThan">
      <x:formula>0</x:formula>
    </x:cfRule>
  </x:conditionalFormatting>
  <x:conditionalFormatting sqref="C22:C22">
    <x:cfRule type="cellIs" dxfId="1" priority="2" operator="lessThan">
      <x:formula>0</x:formula>
    </x:cfRule>
  </x:conditionalFormatting>
  <x:conditionalFormatting sqref="C7:C7">
    <x:cfRule type="containsText" dxfId="2" priority="3" operator="containsText" text="Missing"/>
    <x:cfRule type="containsText" dxfId="3" priority="4" operator="containsText" text="Invalid"/>
  </x:conditionalFormatting>
  <x:dataValidations count="10">
    <x:dataValidation type="whole" operator="between" sqref="F4">
      <x:formula1>1</x:formula1>
      <x:formula2>3</x:formula2>
    </x:dataValidation>
    <x:dataValidation type="decimal" operator="greaterThanOrEqual" sqref="F8:F12">
      <x:formula1>0</x:formula1>
    </x:dataValidation>
    <x:dataValidation type="decimal" operator="between" sqref="F13">
      <x:formula1>0</x:formula1>
      <x:formula2>0.99</x:formula2>
    </x:dataValidation>
    <x:dataValidation type="whole" operator="greaterThanOrEqual" sqref="F14">
      <x:formula1>0</x:formula1>
    </x:dataValidation>
    <x:dataValidation type="decimal" operator="between" sqref="F15:F17">
      <x:formula1>0</x:formula1>
      <x:formula2>1</x:formula2>
    </x:dataValidation>
    <x:dataValidation type="whole" operator="greaterThanOrEqual" sqref="F21:F23">
      <x:formula1>0</x:formula1>
    </x:dataValidation>
    <x:dataValidation type="whole" operator="greaterThanOrEqual" sqref="F26:F28">
      <x:formula1>0</x:formula1>
    </x:dataValidation>
    <x:dataValidation type="whole" operator="greaterThanOrEqual" sqref="F31:F33">
      <x:formula1>0</x:formula1>
    </x:dataValidation>
    <x:dataValidation type="whole" operator="greaterThanOrEqual" sqref="F36:F38">
      <x:formula1>0</x:formula1>
    </x:dataValidation>
    <x:dataValidation type="whole" operator="greaterThanOrEqual" sqref="F41:F43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75" hidden="0" customWidth="1"/>
    <x:col min="2" max="2" width="33.75" hidden="0" customWidth="1"/>
    <x:col min="3" max="3" width="89.37999725341797" hidden="0" customWidth="1"/>
  </x:cols>
  <x:sheetData>
    <x:row r="1" ht="24" customHeight="1">
      <x:c r="A1" s="2"/>
      <x:c r="B1" s="2"/>
      <x:c r="C1" s="2"/>
    </x:row>
    <x:row r="2" ht="24" customHeight="1">
      <x:c r="A2" s="2"/>
      <x:c r="B2" s="3" t="str">
        <x:v>Google Search launch brief</x:v>
      </x:c>
      <x:c r="C2" s="2"/>
    </x:row>
    <x:row r="3" ht="24" customHeight="1">
      <x:c r="A3" s="2"/>
      <x:c r="B3" s="4"/>
      <x:c r="C3" s="4"/>
      <x:c r="D3" s="33"/>
      <x:c r="E3" s="33"/>
      <x:c r="F3" s="33"/>
      <x:c r="G3" s="33"/>
    </x:row>
    <x:row r="4" ht="24" customHeight="1">
      <x:c r="A4" s="2"/>
      <x:c r="B4" s="2" t="str">
        <x:v>Case selected</x:v>
      </x:c>
      <x:c r="C4" s="34" t="str">
        <x:f>'Pilot economics'!C4</x:f>
        <x:v>Base</x:v>
      </x:c>
    </x:row>
    <x:row r="5" ht="24" customHeight="1">
      <x:c r="A5" s="2"/>
      <x:c r="B5" s="2" t="str">
        <x:v>Search media allocation</x:v>
      </x:c>
      <x:c r="C5" s="35" t="n">
        <x:f>'Pilot economics'!F8*'Pilot economics'!F16</x:f>
        <x:v>450</x:v>
      </x:c>
    </x:row>
    <x:row r="6" ht="24" customHeight="1">
      <x:c r="A6" s="2"/>
      <x:c r="B6" s="2"/>
      <x:c r="C6" s="2"/>
    </x:row>
    <x:row r="7" ht="28" customHeight="1">
      <x:c r="A7" s="2"/>
      <x:c r="B7" s="12" t="str">
        <x:v>Setting</x:v>
      </x:c>
      <x:c r="C7" s="12" t="str">
        <x:v>Proposed setup</x:v>
      </x:c>
    </x:row>
    <x:row r="8" ht="51" customHeight="1">
      <x:c r="A8" s="2"/>
      <x:c r="B8" s="2" t="str">
        <x:v>Scope</x:v>
      </x:c>
      <x:c r="C8" s="16" t="str">
        <x:v>One RDA offer. Start with one non-brand intent group; brand RDA terms are prepared separately and remain paused until existing coverage is checked.</x:v>
      </x:c>
    </x:row>
    <x:row r="9" ht="51" customHeight="1">
      <x:c r="A9" s="2"/>
      <x:c r="B9" s="2" t="str">
        <x:v>Media allocation</x:v>
      </x:c>
      <x:c r="C9" s="16" t="str">
        <x:v>30% of pilot media. S$450 in the base plan, released within the weekly total cap; unused spend is not a failure.</x:v>
      </x:c>
    </x:row>
    <x:row r="10" ht="51" customHeight="1">
      <x:c r="A10" s="2"/>
      <x:c r="B10" s="2" t="str">
        <x:v>Locations</x:v>
      </x:c>
      <x:c r="C10" s="16" t="str">
        <x:v>People in or regularly in Singapore. Confirm realistic catchments for Novena and Katong; use booking centre/postcode to review serviceability.</x:v>
      </x:c>
    </x:row>
    <x:row r="11" ht="51" customHeight="1">
      <x:c r="A11" s="2"/>
      <x:c r="B11" s="2" t="str">
        <x:v>Networks and language</x:v>
      </x:c>
      <x:c r="C11" s="16" t="str">
        <x:v>English Search pilot. Review Search partners separately before enabling. Do not expand into Display from this test.</x:v>
      </x:c>
    </x:row>
    <x:row r="12" ht="51" customHeight="1">
      <x:c r="A12" s="2"/>
      <x:c r="B12" s="2" t="str">
        <x:v>Conversion goal</x:v>
      </x:c>
      <x:c r="C12" s="16" t="str">
        <x:v>One primary stage: validated paid booking, or qualified lead while paid volume is insufficient. Keep other stages secondary; check custom goals, which can still bid on included secondary actions.</x:v>
      </x:c>
    </x:row>
    <x:row r="13" ht="51" customHeight="1">
      <x:c r="A13" s="2"/>
      <x:c r="B13" s="2" t="str">
        <x:v>Bidding</x:v>
      </x:c>
      <x:c r="C13" s="16" t="str">
        <x:v>Choose from verified account history and outcome volume. S$38 is a blended commercial planning ceiling, not a Google target CPA or max CPC.</x:v>
      </x:c>
    </x:row>
    <x:row r="14" ht="51" customHeight="1">
      <x:c r="A14" s="2"/>
      <x:c r="B14" s="2" t="str">
        <x:v>Pacing</x:v>
      </x:c>
      <x:c r="C14" s="16" t="str">
        <x:v>Review actual spend daily. An average daily budget is not a hard daily cap. Keep a reserve and pause before the approved total is exhausted.</x:v>
      </x:c>
    </x:row>
    <x:row r="15" ht="51" customHeight="1">
      <x:c r="A15" s="2"/>
      <x:c r="B15" s="2" t="str">
        <x:v>Destination</x:v>
      </x:c>
      <x:c r="C15" s="16" t="str">
        <x:v>Use the RDA page only for RDA intent. Separate Trial Class, holiday and generic class research into a later test with a matching page.</x:v>
      </x:c>
    </x:row>
    <x:row r="16" ht="51" customHeight="1">
      <x:c r="A16" s="2"/>
      <x:c r="B16" s="2" t="str">
        <x:v>Attribution</x:v>
      </x:c>
      <x:c r="C16" s="16" t="str">
        <x:v>One child/offer ID, original source and assisted touchpoints. Join qualified, paid, refunded, attended and enrolled states without summing them as one conversion total.</x:v>
      </x:c>
    </x:row>
    <x:row r="17" ht="24" customHeight="1">
      <x:c r="A17" s="2"/>
      <x:c r="B17" s="2"/>
      <x:c r="C17" s="2"/>
    </x:row>
    <x:row r="18" ht="24" customHeight="1">
      <x:c r="A18" s="2"/>
      <x:c r="B18" s="2"/>
      <x:c r="C18" s="2"/>
    </x:row>
    <x:row r="19" ht="28" customHeight="1">
      <x:c r="A19" s="2"/>
      <x:c r="B19" s="12" t="str">
        <x:v>Keyword draft</x:v>
      </x:c>
      <x:c r="C19" s="12" t="str">
        <x:v>Match type, group and launch state</x:v>
      </x:c>
    </x:row>
    <x:row r="20" ht="27" customHeight="1">
      <x:c r="A20" s="2"/>
      <x:c r="B20" s="2" t="str">
        <x:v>robotics assessment singapore</x:v>
      </x:c>
      <x:c r="C20" s="2" t="str">
        <x:v>Exact. Non-brand RDA. Proposed start.</x:v>
      </x:c>
    </x:row>
    <x:row r="21" ht="27" customHeight="1">
      <x:c r="A21" s="2"/>
      <x:c r="B21" s="2" t="str">
        <x:v>robotics assessment for kids</x:v>
      </x:c>
      <x:c r="C21" s="2" t="str">
        <x:v>Phrase. Non-brand RDA. Proposed start.</x:v>
      </x:c>
    </x:row>
    <x:row r="22" ht="27" customHeight="1">
      <x:c r="A22" s="2"/>
      <x:c r="B22" s="2" t="str">
        <x:v>robotics discovery session</x:v>
      </x:c>
      <x:c r="C22" s="2" t="str">
        <x:v>Phrase. Non-brand RDA. Proposed start.</x:v>
      </x:c>
    </x:row>
    <x:row r="23" ht="27" customHeight="1">
      <x:c r="A23" s="2"/>
      <x:c r="B23" s="2" t="str">
        <x:v>robotics assessment novena</x:v>
      </x:c>
      <x:c r="C23" s="2" t="str">
        <x:v>Exact. Non-brand RDA. Proposed start.</x:v>
      </x:c>
    </x:row>
    <x:row r="24" ht="27" customHeight="1">
      <x:c r="A24" s="2"/>
      <x:c r="B24" s="2" t="str">
        <x:v>robotics assessment katong</x:v>
      </x:c>
      <x:c r="C24" s="2" t="str">
        <x:v>Exact. Non-brand RDA. Proposed start.</x:v>
      </x:c>
    </x:row>
    <x:row r="25" ht="27" customHeight="1">
      <x:c r="A25" s="2"/>
      <x:c r="B25" s="2" t="str">
        <x:v>robotics assessment near me</x:v>
      </x:c>
      <x:c r="C25" s="2" t="str">
        <x:v>Phrase. Non-brand RDA. Proposed start.</x:v>
      </x:c>
    </x:row>
    <x:row r="26" ht="27" customHeight="1">
      <x:c r="A26" s="2"/>
      <x:c r="B26" s="2" t="str">
        <x:v>meta robotics assessment</x:v>
      </x:c>
      <x:c r="C26" s="2" t="str">
        <x:v>Exact. Brand RDA. Paused; check overlap.</x:v>
      </x:c>
    </x:row>
    <x:row r="27" ht="27" customHeight="1">
      <x:c r="A27" s="2"/>
      <x:c r="B27" s="2" t="str">
        <x:v>meta robotics rda</x:v>
      </x:c>
      <x:c r="C27" s="2" t="str">
        <x:v>Exact. Brand RDA. Paused; check overlap.</x:v>
      </x:c>
    </x:row>
    <x:row r="28" ht="27" customHeight="1">
      <x:c r="A28" s="2"/>
      <x:c r="B28" s="2" t="str">
        <x:v>meta robotics novena rda</x:v>
      </x:c>
      <x:c r="C28" s="2" t="str">
        <x:v>Exact. Brand RDA. Paused; check overlap.</x:v>
      </x:c>
    </x:row>
    <x:row r="29" ht="27" customHeight="1">
      <x:c r="A29" s="2"/>
      <x:c r="B29" s="2" t="str">
        <x:v>robotics class singapore</x:v>
      </x:c>
      <x:c r="C29" s="2" t="str">
        <x:v>Phrase. Later class test. Paused; different intent.</x:v>
      </x:c>
    </x:row>
    <x:row r="30" ht="27" customHeight="1">
      <x:c r="A30" s="2"/>
      <x:c r="B30" s="2" t="str">
        <x:v>robotics trial class</x:v>
      </x:c>
      <x:c r="C30" s="2" t="str">
        <x:v>Phrase. Later trial test. Paused; different offer.</x:v>
      </x:c>
    </x:row>
    <x:row r="31" ht="27" customHeight="1">
      <x:c r="A31" s="2"/>
      <x:c r="B31" s="2" t="str">
        <x:v>holiday robotics camp</x:v>
      </x:c>
      <x:c r="C31" s="2" t="str">
        <x:v>Phrase. Later holiday test. Paused; different offer.</x:v>
      </x:c>
    </x:row>
    <x:row r="32" ht="24" customHeight="1">
      <x:c r="A32" s="2"/>
      <x:c r="B32" s="2"/>
      <x:c r="C32" s="2"/>
    </x:row>
    <x:row r="33" ht="24" customHeight="1">
      <x:c r="A33" s="2"/>
      <x:c r="B33" s="2"/>
      <x:c r="C33" s="2"/>
    </x:row>
    <x:row r="34" ht="70" customHeight="1">
      <x:c r="A34" s="2"/>
      <x:c r="B34" s="31" t="str">
        <x:v>Negative keyword draft</x:v>
      </x:c>
      <x:c r="C34" s="16" t="str">
        <x:v>jobs, job, salary, career, careers, university degree, engineering degree, adult course, adult courses, robot kit, robot kits, robot toy, robot toys, repair, repairing, free download</x:v>
      </x:c>
    </x:row>
    <x:row r="35" ht="62" customHeight="1">
      <x:c r="A35" s="2"/>
      <x:c r="B35" s="2"/>
      <x:c r="C35" s="32" t="str">
        <x:v>Proposed phrase negatives. Review query context first; do not blanket-exclude coding, STEM, LEGO, price or free trial. Negative keywords need explicit variants; review actual search terms twice weekly.</x:v>
      </x:c>
    </x:row>
    <x:row r="36" ht="24" customHeight="1">
      <x:c r="A36" s="2"/>
      <x:c r="B36" s="2"/>
      <x:c r="C36" s="2"/>
    </x:row>
    <x:row r="37" ht="24" customHeight="1">
      <x:c r="A37" s="2"/>
      <x:c r="B37" s="2"/>
      <x:c r="C37" s="2"/>
    </x:row>
    <x:row r="38" ht="28" customHeight="1">
      <x:c r="A38" s="2"/>
      <x:c r="B38" s="12" t="str">
        <x:v>Outcome</x:v>
      </x:c>
      <x:c r="C38" s="12" t="str">
        <x:v>Definition and acceptance</x:v>
      </x:c>
    </x:row>
    <x:row r="39" ht="55" customHeight="1">
      <x:c r="A39" s="2"/>
      <x:c r="B39" s="2" t="str">
        <x:v>WhatsApp open</x:v>
      </x:c>
      <x:c r="C39" s="16" t="str">
        <x:v>A diagnostic click only; no evidence that a message was sent or received.</x:v>
      </x:c>
    </x:row>
    <x:row r="40" ht="55" customHeight="1">
      <x:c r="A40" s="2"/>
      <x:c r="B40" s="2" t="str">
        <x:v>Enquiry received</x:v>
      </x:c>
      <x:c r="C40" s="16" t="str">
        <x:v>One deduplicated child/offer record with actual received contact; retain consent and source/unknown state.</x:v>
      </x:c>
    </x:row>
    <x:row r="41" ht="55" customHeight="1">
      <x:c r="A41" s="2"/>
      <x:c r="B41" s="2" t="str">
        <x:v>Qualified</x:v>
      </x:c>
      <x:c r="C41" s="16" t="str">
        <x:v>Age/programme, serviceable centre, valid contact and genuine interest checked by sales.</x:v>
      </x:c>
    </x:row>
    <x:row r="42" ht="55" customHeight="1">
      <x:c r="A42" s="2"/>
      <x:c r="B42" s="2" t="str">
        <x:v>Paid booking</x:v>
      </x:c>
      <x:c r="C42" s="16" t="str">
        <x:v>Payment matched to the booking; exclude unpaid, cancelled and refunded records under the agreed window.</x:v>
      </x:c>
    </x:row>
    <x:row r="43" ht="55" customHeight="1">
      <x:c r="A43" s="2"/>
      <x:c r="B43" s="2" t="str">
        <x:v>Attended / enrolled</x:v>
      </x:c>
      <x:c r="C43" s="16" t="str">
        <x:v>Separate downstream states, dates and payment records; show pending outcomes until the cohort closes.</x:v>
      </x:c>
    </x:row>
    <x:row r="44" ht="55" customHeight="1">
      <x:c r="A44" s="2"/>
      <x:c r="B44" s="2" t="str">
        <x:v>QA acceptance</x:v>
      </x:c>
      <x:c r="C44" s="16" t="str">
        <x:v>Consent allowed/refused, invalid input, duplicate, refresh and unpaid order. Store expected/actual result, time and reviewer; these are planned checks, not claimed passes.</x:v>
      </x:c>
    </x:row>
    <x:row r="45" ht="24" customHeight="1">
      <x:c r="A45" s="2"/>
      <x:c r="B45" s="2"/>
      <x:c r="C45" s="2"/>
    </x:row>
    <x:row r="46" ht="24" customHeight="1">
      <x:c r="A46" s="2"/>
      <x:c r="B46" s="2"/>
      <x:c r="C46" s="2"/>
    </x:row>
    <x:row r="47" ht="60" customHeight="1">
      <x:c r="A47" s="2"/>
      <x:c r="B47" s="2" t="str">
        <x:v>Experiment interpretation</x:v>
      </x:c>
      <x:c r="C47" s="16" t="str">
        <x:v>Two creative concepts keep offer and geography fixed. Review qualified enquiries and paid outcomes, not CTR alone. Low volume or adaptive delivery does not establish causality.</x:v>
      </x:c>
    </x:row>
    <x:row r="48" ht="24" customHeight="1">
      <x:c r="A48" s="2"/>
      <x:c r="B48" s="2"/>
      <x:c r="C48" s="2"/>
    </x:row>
    <x:row r="49" ht="24" customHeight="1">
      <x:c r="A49" s="2"/>
      <x:c r="B49" s="2"/>
      <x:c r="C49" s="2"/>
    </x:row>
    <x:row r="50" ht="60" customHeight="1">
      <x:c r="A50" s="2"/>
      <x:c r="B50" s="2" t="str">
        <x:v>Decision ownership</x:v>
      </x:c>
      <x:c r="C50" s="16" t="str">
        <x:v>Long: campaigns, QA, reporting and change log. Centre team: eligibility, capacity, payments, attendance and enrolment. Named owners and response times agreed before launch.</x:v>
      </x:c>
    </x:row>
    <x:row r="51" ht="24" customHeight="1">
      <x:c r="A51" s="2"/>
      <x:c r="B51" s="2"/>
      <x:c r="C51" s="2"/>
    </x:row>
    <x:row r="52" ht="24" customHeight="1">
      <x:c r="A52" s="2"/>
      <x:c r="B52" s="2"/>
      <x:c r="C52" s="2"/>
    </x:row>
    <x:row r="53" ht="24" customHeight="1">
      <x:c r="A53" s="2"/>
      <x:c r="B53" s="2" t="str">
        <x:v>Sources checked 26 Oct 2026</x:v>
      </x:c>
      <x:c r="C53" s="2"/>
    </x:row>
    <x:row r="54" ht="24" customHeight="1">
      <x:c r="A54" s="2"/>
      <x:c r="B54" s="2"/>
      <x:c r="C54" s="7" t="str">
        <x:v>https://www.metarobotics.sg/rda.html</x:v>
      </x:c>
    </x:row>
    <x:row r="55" ht="24" customHeight="1">
      <x:c r="A55" s="2"/>
      <x:c r="B55" s="2"/>
      <x:c r="C55" s="7" t="str">
        <x:v>https://support.google.com/google-ads/answer/7684791?hl=en</x:v>
      </x:c>
    </x:row>
    <x:row r="56" ht="24" customHeight="1">
      <x:c r="A56" s="2"/>
      <x:c r="B56" s="2"/>
      <x:c r="C56" s="7" t="str">
        <x:v>https://support.google.com/google-ads/answer/1722038?hl=en</x:v>
      </x:c>
    </x:row>
    <x:row r="57" ht="24" customHeight="1">
      <x:c r="A57" s="2"/>
      <x:c r="B57" s="2"/>
      <x:c r="C57" s="7" t="str">
        <x:v>https://support.google.com/google-ads/answer/2453972?hl=en</x:v>
      </x:c>
    </x:row>
    <x:row r="58" ht="24" customHeight="1">
      <x:c r="A58" s="2"/>
      <x:c r="B58" s="2"/>
      <x:c r="C58" s="7" t="str">
        <x:v>https://support.google.com/google-ads/answer/10486637?hl=en</x:v>
      </x:c>
    </x:row>
    <x:row r="59" ht="24" customHeight="1">
      <x:c r="A59" s="2"/>
      <x:c r="B59" s="2"/>
      <x:c r="C59" s="7" t="str">
        <x:v>https://support.google.com/google-ads/answer/11461796?hl=en</x:v>
      </x:c>
    </x:row>
    <x:row r="60" ht="24" customHeight="1">
      <x:c r="A60" s="2"/>
      <x:c r="B60" s="2"/>
      <x:c r="C60" s="2"/>
    </x:row>
    <x:row r="61" ht="24" customHeight="1">
      <x:c r="A61" s="2"/>
      <x:c r="B61" s="2"/>
      <x:c r="C61" s="2"/>
    </x:row>
    <x:row r="62" ht="24" customHeight="1">
      <x:c r="A62" s="2"/>
      <x:c r="B62" s="7" t="str">
        <x:v>Keywords and settings are proposed, not search-volume evidence or an import-ready account configuration.</x:v>
      </x:c>
      <x:c r="C62" s="2"/>
    </x:row>
    <x:row r="63" ht="24" customHeight="1">
      <x:c r="A63" s="2"/>
      <x:c r="B63" s="2"/>
      <x:c r="C63" s="2"/>
    </x:row>
    <x:row r="64" ht="24" customHeight="1">
      <x:c r="A64" s="2"/>
      <x:c r="B64" s="2"/>
      <x:c r="C64" s="2"/>
    </x:row>
    <x:row r="65" ht="24" customHeight="1">
      <x:c r="A65" s="2"/>
      <x:c r="B65" s="2"/>
      <x:c r="C65" s="2"/>
    </x:row>
    <x:row r="66" ht="24" customHeight="1">
      <x:c r="A66" s="2"/>
      <x:c r="B66" s="2"/>
      <x:c r="C66" s="2"/>
    </x:row>
    <x:row r="67" ht="24" customHeight="1">
      <x:c r="A67" s="2"/>
      <x:c r="B67" s="2"/>
      <x:c r="C67" s="2"/>
    </x:row>
    <x:row r="68" ht="24" customHeight="1">
      <x:c r="A68" s="2"/>
      <x:c r="B68" s="2"/>
      <x:c r="C68" s="2"/>
    </x:row>
    <x:row r="69" ht="24" customHeight="1">
      <x:c r="A69" s="2"/>
      <x:c r="B69" s="2"/>
      <x:c r="C6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75" hidden="0" customWidth="1"/>
    <x:col min="2" max="2" width="21.25" hidden="0" customWidth="1"/>
    <x:col min="3" max="3" width="81.25" hidden="0" customWidth="1"/>
    <x:col min="4" max="4" width="11.5" hidden="0" customWidth="1"/>
    <x:col min="5" max="5" width="10" hidden="0" customWidth="1"/>
    <x:col min="6" max="6" width="16.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2"/>
      <x:c r="B2" s="3" t="str">
        <x:v>Responsive Search Ad drafts</x:v>
      </x:c>
      <x:c r="C2" s="2"/>
      <x:c r="D2" s="2"/>
      <x:c r="E2" s="2"/>
      <x:c r="F2" s="2"/>
    </x:row>
    <x:row r="3" ht="24" customHeight="1">
      <x:c r="A3" s="2"/>
      <x:c r="B3" s="4"/>
      <x:c r="C3" s="4"/>
      <x:c r="D3" s="4"/>
      <x:c r="E3" s="4"/>
      <x:c r="F3" s="4"/>
      <x:c r="G3" s="33"/>
    </x:row>
    <x:row r="4" ht="24" customHeight="1">
      <x:c r="A4" s="2"/>
      <x:c r="B4" s="2" t="str">
        <x:v>Case selected</x:v>
      </x:c>
      <x:c r="C4" s="34" t="str">
        <x:f>'Pilot economics'!C4</x:f>
        <x:v>Base</x:v>
      </x:c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2"/>
      <x:c r="B7" s="31" t="str">
        <x:v>A: Find a starting point</x:v>
      </x:c>
      <x:c r="C7" s="2"/>
      <x:c r="D7" s="2"/>
      <x:c r="E7" s="2"/>
      <x:c r="F7" s="2"/>
    </x:row>
    <x:row r="8" ht="28" customHeight="1">
      <x:c r="A8" s="2"/>
      <x:c r="B8" s="12" t="str">
        <x:v>Asset</x:v>
      </x:c>
      <x:c r="C8" s="12" t="str">
        <x:v>Draft copy</x:v>
      </x:c>
      <x:c r="D8" s="12" t="str">
        <x:v>Characters</x:v>
      </x:c>
      <x:c r="E8" s="12" t="str">
        <x:v>Limit</x:v>
      </x:c>
      <x:c r="F8" s="12" t="str">
        <x:v>Length check</x:v>
      </x:c>
    </x:row>
    <x:row r="9" ht="31" customHeight="1">
      <x:c r="A9" s="2"/>
      <x:c r="B9" s="2" t="str">
        <x:v>Headline 1</x:v>
      </x:c>
      <x:c r="C9" s="16" t="str">
        <x:v>Robotics Assessment</x:v>
      </x:c>
      <x:c r="D9" s="2" t="n">
        <x:f>LEN(C9)</x:f>
        <x:v>19</x:v>
      </x:c>
      <x:c r="E9" s="2" t="n">
        <x:v>30</x:v>
      </x:c>
      <x:c r="F9" s="2" t="str">
        <x:f>IF(D9&lt;=E9,"Within limit","SHORTEN COPY")</x:f>
        <x:v>Within limit</x:v>
      </x:c>
    </x:row>
    <x:row r="10" ht="31" customHeight="1">
      <x:c r="A10" s="2"/>
      <x:c r="B10" s="2" t="str">
        <x:v>Headline 2</x:v>
      </x:c>
      <x:c r="C10" s="16" t="str">
        <x:v>S$30 Discovery Session</x:v>
      </x:c>
      <x:c r="D10" s="2" t="n">
        <x:f>LEN(C10)</x:f>
        <x:v>22</x:v>
      </x:c>
      <x:c r="E10" s="2" t="n">
        <x:v>30</x:v>
      </x:c>
      <x:c r="F10" s="2" t="str">
        <x:f>IF(D10&lt;=E10,"Within limit","SHORTEN COPY")</x:f>
        <x:v>Within limit</x:v>
      </x:c>
    </x:row>
    <x:row r="11" ht="31" customHeight="1">
      <x:c r="A11" s="2"/>
      <x:c r="B11" s="2" t="str">
        <x:v>Headline 3</x:v>
      </x:c>
      <x:c r="C11" s="16" t="str">
        <x:v>Novena &amp; Katong Centres</x:v>
      </x:c>
      <x:c r="D11" s="2" t="n">
        <x:f>LEN(C11)</x:f>
        <x:v>23</x:v>
      </x:c>
      <x:c r="E11" s="2" t="n">
        <x:v>30</x:v>
      </x:c>
      <x:c r="F11" s="2" t="str">
        <x:f>IF(D11&lt;=E11,"Within limit","SHORTEN COPY")</x:f>
        <x:v>Within limit</x:v>
      </x:c>
    </x:row>
    <x:row r="12" ht="31" customHeight="1">
      <x:c r="A12" s="2"/>
      <x:c r="B12" s="2" t="str">
        <x:v>Headline 4</x:v>
      </x:c>
      <x:c r="C12" s="16" t="str">
        <x:v>Where Should Your Child Start?</x:v>
      </x:c>
      <x:c r="D12" s="2" t="n">
        <x:f>LEN(C12)</x:f>
        <x:v>30</x:v>
      </x:c>
      <x:c r="E12" s="2" t="n">
        <x:v>30</x:v>
      </x:c>
      <x:c r="F12" s="2" t="str">
        <x:f>IF(D12&lt;=E12,"Within limit","SHORTEN COPY")</x:f>
        <x:v>Within limit</x:v>
      </x:c>
    </x:row>
    <x:row r="13" ht="31" customHeight="1">
      <x:c r="A13" s="2"/>
      <x:c r="B13" s="2" t="str">
        <x:v>Headline 5</x:v>
      </x:c>
      <x:c r="C13" s="16" t="str">
        <x:v>45-Minute Robotics Activity</x:v>
      </x:c>
      <x:c r="D13" s="2" t="n">
        <x:f>LEN(C13)</x:f>
        <x:v>27</x:v>
      </x:c>
      <x:c r="E13" s="2" t="n">
        <x:v>30</x:v>
      </x:c>
      <x:c r="F13" s="2" t="str">
        <x:f>IF(D13&lt;=E13,"Within limit","SHORTEN COPY")</x:f>
        <x:v>Within limit</x:v>
      </x:c>
    </x:row>
    <x:row r="14" ht="31" customHeight="1">
      <x:c r="A14" s="2"/>
      <x:c r="B14" s="2" t="str">
        <x:v>Headline 6</x:v>
      </x:c>
      <x:c r="C14" s="16" t="str">
        <x:v>15-Minute Parent Consultation</x:v>
      </x:c>
      <x:c r="D14" s="2" t="n">
        <x:f>LEN(C14)</x:f>
        <x:v>29</x:v>
      </x:c>
      <x:c r="E14" s="2" t="n">
        <x:v>30</x:v>
      </x:c>
      <x:c r="F14" s="2" t="str">
        <x:f>IF(D14&lt;=E14,"Within limit","SHORTEN COPY")</x:f>
        <x:v>Within limit</x:v>
      </x:c>
    </x:row>
    <x:row r="15" ht="31" customHeight="1">
      <x:c r="A15" s="2"/>
      <x:c r="B15" s="2" t="str">
        <x:v>Headline 7</x:v>
      </x:c>
      <x:c r="C15" s="16" t="str">
        <x:v>Personal Learning Report</x:v>
      </x:c>
      <x:c r="D15" s="2" t="n">
        <x:f>LEN(C15)</x:f>
        <x:v>24</x:v>
      </x:c>
      <x:c r="E15" s="2" t="n">
        <x:v>30</x:v>
      </x:c>
      <x:c r="F15" s="2" t="str">
        <x:f>IF(D15&lt;=E15,"Within limit","SHORTEN COPY")</x:f>
        <x:v>Within limit</x:v>
      </x:c>
    </x:row>
    <x:row r="16" ht="31" customHeight="1">
      <x:c r="A16" s="2"/>
      <x:c r="B16" s="2" t="str">
        <x:v>Headline 8</x:v>
      </x:c>
      <x:c r="C16" s="16" t="str">
        <x:v>Explore Robotics Together</x:v>
      </x:c>
      <x:c r="D16" s="2" t="n">
        <x:f>LEN(C16)</x:f>
        <x:v>25</x:v>
      </x:c>
      <x:c r="E16" s="2" t="n">
        <x:v>30</x:v>
      </x:c>
      <x:c r="F16" s="2" t="str">
        <x:f>IF(D16&lt;=E16,"Within limit","SHORTEN COPY")</x:f>
        <x:v>Within limit</x:v>
      </x:c>
    </x:row>
    <x:row r="17" ht="31" customHeight="1">
      <x:c r="A17" s="2"/>
      <x:c r="B17" s="2" t="str">
        <x:v>Headline 9</x:v>
      </x:c>
      <x:c r="C17" s="16" t="str">
        <x:v>Ask About Available Sessions</x:v>
      </x:c>
      <x:c r="D17" s="2" t="n">
        <x:f>LEN(C17)</x:f>
        <x:v>28</x:v>
      </x:c>
      <x:c r="E17" s="2" t="n">
        <x:v>30</x:v>
      </x:c>
      <x:c r="F17" s="2" t="str">
        <x:f>IF(D17&lt;=E17,"Within limit","SHORTEN COPY")</x:f>
        <x:v>Within limit</x:v>
      </x:c>
    </x:row>
    <x:row r="18" ht="31" customHeight="1">
      <x:c r="A18" s="2"/>
      <x:c r="B18" s="2" t="str">
        <x:v>Headline 10</x:v>
      </x:c>
      <x:c r="C18" s="16" t="str">
        <x:v>Meet Meta Robotics</x:v>
      </x:c>
      <x:c r="D18" s="2" t="n">
        <x:f>LEN(C18)</x:f>
        <x:v>18</x:v>
      </x:c>
      <x:c r="E18" s="2" t="n">
        <x:v>30</x:v>
      </x:c>
      <x:c r="F18" s="2" t="str">
        <x:f>IF(D18&lt;=E18,"Within limit","SHORTEN COPY")</x:f>
        <x:v>Within limit</x:v>
      </x:c>
    </x:row>
    <x:row r="19" ht="31" customHeight="1">
      <x:c r="A19" s="2"/>
      <x:c r="B19" s="2" t="str">
        <x:v>Description 1</x:v>
      </x:c>
      <x:c r="C19" s="16" t="str">
        <x:v>Explore how your child learns. A personal report and parent consultation included.</x:v>
      </x:c>
      <x:c r="D19" s="2" t="n">
        <x:f>LEN(C19)</x:f>
        <x:v>82</x:v>
      </x:c>
      <x:c r="E19" s="2" t="n">
        <x:v>90</x:v>
      </x:c>
      <x:c r="F19" s="2" t="str">
        <x:f>IF(D19&lt;=E19,"Within limit","SHORTEN COPY")</x:f>
        <x:v>Within limit</x:v>
      </x:c>
    </x:row>
    <x:row r="20" ht="31" customHeight="1">
      <x:c r="A20" s="2"/>
      <x:c r="B20" s="2" t="str">
        <x:v>Description 2</x:v>
      </x:c>
      <x:c r="C20" s="16" t="str">
        <x:v>Book a 60-minute RDA at Novena or Katong. Ask our team about available sessions.</x:v>
      </x:c>
      <x:c r="D20" s="2" t="n">
        <x:f>LEN(C20)</x:f>
        <x:v>80</x:v>
      </x:c>
      <x:c r="E20" s="2" t="n">
        <x:v>90</x:v>
      </x:c>
      <x:c r="F20" s="2" t="str">
        <x:f>IF(D20&lt;=E20,"Within limit","SHORTEN COPY")</x:f>
        <x:v>Within limit</x:v>
      </x:c>
    </x:row>
    <x:row r="21" ht="31" customHeight="1">
      <x:c r="A21" s="2"/>
      <x:c r="B21" s="2" t="str">
        <x:v>Description 3</x:v>
      </x:c>
      <x:c r="C21" s="16" t="str">
        <x:v>Try a 45-minute robotics activity, then a 15-minute consultation for parents.</x:v>
      </x:c>
      <x:c r="D21" s="2" t="n">
        <x:f>LEN(C21)</x:f>
        <x:v>77</x:v>
      </x:c>
      <x:c r="E21" s="2" t="n">
        <x:v>90</x:v>
      </x:c>
      <x:c r="F21" s="2" t="str">
        <x:f>IF(D21&lt;=E21,"Within limit","SHORTEN COPY")</x:f>
        <x:v>Within limit</x:v>
      </x:c>
    </x:row>
    <x:row r="22" ht="31" customHeight="1">
      <x:c r="A22" s="2"/>
      <x:c r="B22" s="2" t="str">
        <x:v>Description 4</x:v>
      </x:c>
      <x:c r="C22" s="16" t="str">
        <x:v>Not sure where to start? Ask about our S$30 Robotics Discovery Assessment.</x:v>
      </x:c>
      <x:c r="D22" s="2" t="n">
        <x:f>LEN(C22)</x:f>
        <x:v>74</x:v>
      </x:c>
      <x:c r="E22" s="2" t="n">
        <x:v>90</x:v>
      </x:c>
      <x:c r="F22" s="2" t="str">
        <x:f>IF(D22&lt;=E22,"Within limit","SHORTEN COPY")</x:f>
        <x:v>Within limit</x:v>
      </x:c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31" t="str">
        <x:v>B: See their approach</x:v>
      </x:c>
      <x:c r="C25" s="2"/>
      <x:c r="D25" s="2"/>
      <x:c r="E25" s="2"/>
      <x:c r="F25" s="2"/>
    </x:row>
    <x:row r="26" ht="28" customHeight="1">
      <x:c r="A26" s="2"/>
      <x:c r="B26" s="12" t="str">
        <x:v>Asset</x:v>
      </x:c>
      <x:c r="C26" s="12" t="str">
        <x:v>Draft copy</x:v>
      </x:c>
      <x:c r="D26" s="12" t="str">
        <x:v>Characters</x:v>
      </x:c>
      <x:c r="E26" s="12" t="str">
        <x:v>Limit</x:v>
      </x:c>
      <x:c r="F26" s="12" t="str">
        <x:v>Length check</x:v>
      </x:c>
    </x:row>
    <x:row r="27" ht="31" customHeight="1">
      <x:c r="A27" s="2"/>
      <x:c r="B27" s="2" t="str">
        <x:v>Headline 1</x:v>
      </x:c>
      <x:c r="C27" s="16" t="str">
        <x:v>See How Your Child Learns</x:v>
      </x:c>
      <x:c r="D27" s="2" t="n">
        <x:f>LEN(C27)</x:f>
        <x:v>25</x:v>
      </x:c>
      <x:c r="E27" s="2" t="n">
        <x:v>30</x:v>
      </x:c>
      <x:c r="F27" s="2" t="str">
        <x:f>IF(D27&lt;=E27,"Within limit","SHORTEN COPY")</x:f>
        <x:v>Within limit</x:v>
      </x:c>
    </x:row>
    <x:row r="28" ht="31" customHeight="1">
      <x:c r="A28" s="2"/>
      <x:c r="B28" s="2" t="str">
        <x:v>Headline 2</x:v>
      </x:c>
      <x:c r="C28" s="16" t="str">
        <x:v>Explore A Robotics Challenge</x:v>
      </x:c>
      <x:c r="D28" s="2" t="n">
        <x:f>LEN(C28)</x:f>
        <x:v>28</x:v>
      </x:c>
      <x:c r="E28" s="2" t="n">
        <x:v>30</x:v>
      </x:c>
      <x:c r="F28" s="2" t="str">
        <x:f>IF(D28&lt;=E28,"Within limit","SHORTEN COPY")</x:f>
        <x:v>Within limit</x:v>
      </x:c>
    </x:row>
    <x:row r="29" ht="31" customHeight="1">
      <x:c r="A29" s="2"/>
      <x:c r="B29" s="2" t="str">
        <x:v>Headline 3</x:v>
      </x:c>
      <x:c r="C29" s="16" t="str">
        <x:v>S$30 Robotics Assessment</x:v>
      </x:c>
      <x:c r="D29" s="2" t="n">
        <x:f>LEN(C29)</x:f>
        <x:v>24</x:v>
      </x:c>
      <x:c r="E29" s="2" t="n">
        <x:v>30</x:v>
      </x:c>
      <x:c r="F29" s="2" t="str">
        <x:f>IF(D29&lt;=E29,"Within limit","SHORTEN COPY")</x:f>
        <x:v>Within limit</x:v>
      </x:c>
    </x:row>
    <x:row r="30" ht="31" customHeight="1">
      <x:c r="A30" s="2"/>
      <x:c r="B30" s="2" t="str">
        <x:v>Headline 4</x:v>
      </x:c>
      <x:c r="C30" s="16" t="str">
        <x:v>A Personal Report Included</x:v>
      </x:c>
      <x:c r="D30" s="2" t="n">
        <x:f>LEN(C30)</x:f>
        <x:v>26</x:v>
      </x:c>
      <x:c r="E30" s="2" t="n">
        <x:v>30</x:v>
      </x:c>
      <x:c r="F30" s="2" t="str">
        <x:f>IF(D30&lt;=E30,"Within limit","SHORTEN COPY")</x:f>
        <x:v>Within limit</x:v>
      </x:c>
    </x:row>
    <x:row r="31" ht="31" customHeight="1">
      <x:c r="A31" s="2"/>
      <x:c r="B31" s="2" t="str">
        <x:v>Headline 5</x:v>
      </x:c>
      <x:c r="C31" s="16" t="str">
        <x:v>Talk Through The Next Step</x:v>
      </x:c>
      <x:c r="D31" s="2" t="n">
        <x:f>LEN(C31)</x:f>
        <x:v>26</x:v>
      </x:c>
      <x:c r="E31" s="2" t="n">
        <x:v>30</x:v>
      </x:c>
      <x:c r="F31" s="2" t="str">
        <x:f>IF(D31&lt;=E31,"Within limit","SHORTEN COPY")</x:f>
        <x:v>Within limit</x:v>
      </x:c>
    </x:row>
    <x:row r="32" ht="31" customHeight="1">
      <x:c r="A32" s="2"/>
      <x:c r="B32" s="2" t="str">
        <x:v>Headline 6</x:v>
      </x:c>
      <x:c r="C32" s="16" t="str">
        <x:v>Hands-On Discovery Session</x:v>
      </x:c>
      <x:c r="D32" s="2" t="n">
        <x:f>LEN(C32)</x:f>
        <x:v>26</x:v>
      </x:c>
      <x:c r="E32" s="2" t="n">
        <x:v>30</x:v>
      </x:c>
      <x:c r="F32" s="2" t="str">
        <x:f>IF(D32&lt;=E32,"Within limit","SHORTEN COPY")</x:f>
        <x:v>Within limit</x:v>
      </x:c>
    </x:row>
    <x:row r="33" ht="31" customHeight="1">
      <x:c r="A33" s="2"/>
      <x:c r="B33" s="2" t="str">
        <x:v>Headline 7</x:v>
      </x:c>
      <x:c r="C33" s="16" t="str">
        <x:v>Novena Or Katong</x:v>
      </x:c>
      <x:c r="D33" s="2" t="n">
        <x:f>LEN(C33)</x:f>
        <x:v>16</x:v>
      </x:c>
      <x:c r="E33" s="2" t="n">
        <x:v>30</x:v>
      </x:c>
      <x:c r="F33" s="2" t="str">
        <x:f>IF(D33&lt;=E33,"Within limit","SHORTEN COPY")</x:f>
        <x:v>Within limit</x:v>
      </x:c>
    </x:row>
    <x:row r="34" ht="31" customHeight="1">
      <x:c r="A34" s="2"/>
      <x:c r="B34" s="2" t="str">
        <x:v>Headline 8</x:v>
      </x:c>
      <x:c r="C34" s="16" t="str">
        <x:v>Activity And Parent Feedback</x:v>
      </x:c>
      <x:c r="D34" s="2" t="n">
        <x:f>LEN(C34)</x:f>
        <x:v>28</x:v>
      </x:c>
      <x:c r="E34" s="2" t="n">
        <x:v>30</x:v>
      </x:c>
      <x:c r="F34" s="2" t="str">
        <x:f>IF(D34&lt;=E34,"Within limit","SHORTEN COPY")</x:f>
        <x:v>Within limit</x:v>
      </x:c>
    </x:row>
    <x:row r="35" ht="31" customHeight="1">
      <x:c r="A35" s="2"/>
      <x:c r="B35" s="2" t="str">
        <x:v>Headline 9</x:v>
      </x:c>
      <x:c r="C35" s="16" t="str">
        <x:v>Discover Their Starting Point</x:v>
      </x:c>
      <x:c r="D35" s="2" t="n">
        <x:f>LEN(C35)</x:f>
        <x:v>29</x:v>
      </x:c>
      <x:c r="E35" s="2" t="n">
        <x:v>30</x:v>
      </x:c>
      <x:c r="F35" s="2" t="str">
        <x:f>IF(D35&lt;=E35,"Within limit","SHORTEN COPY")</x:f>
        <x:v>Within limit</x:v>
      </x:c>
    </x:row>
    <x:row r="36" ht="31" customHeight="1">
      <x:c r="A36" s="2"/>
      <x:c r="B36" s="2" t="str">
        <x:v>Headline 10</x:v>
      </x:c>
      <x:c r="C36" s="16" t="str">
        <x:v>Ask Our Team About RDA</x:v>
      </x:c>
      <x:c r="D36" s="2" t="n">
        <x:f>LEN(C36)</x:f>
        <x:v>22</x:v>
      </x:c>
      <x:c r="E36" s="2" t="n">
        <x:v>30</x:v>
      </x:c>
      <x:c r="F36" s="2" t="str">
        <x:f>IF(D36&lt;=E36,"Within limit","SHORTEN COPY")</x:f>
        <x:v>Within limit</x:v>
      </x:c>
    </x:row>
    <x:row r="37" ht="31" customHeight="1">
      <x:c r="A37" s="2"/>
      <x:c r="B37" s="2" t="str">
        <x:v>Description 1</x:v>
      </x:c>
      <x:c r="C37" s="16" t="str">
        <x:v>See how your child approaches a hands-on activity. Discuss the next step with our team.</x:v>
      </x:c>
      <x:c r="D37" s="2" t="n">
        <x:f>LEN(C37)</x:f>
        <x:v>87</x:v>
      </x:c>
      <x:c r="E37" s="2" t="n">
        <x:v>90</x:v>
      </x:c>
      <x:c r="F37" s="2" t="str">
        <x:f>IF(D37&lt;=E37,"Within limit","SHORTEN COPY")</x:f>
        <x:v>Within limit</x:v>
      </x:c>
    </x:row>
    <x:row r="38" ht="31" customHeight="1">
      <x:c r="A38" s="2"/>
      <x:c r="B38" s="2" t="str">
        <x:v>Description 2</x:v>
      </x:c>
      <x:c r="C38" s="16" t="str">
        <x:v>A 45-minute activity, 15-minute parent consultation and personal report for S$30.</x:v>
      </x:c>
      <x:c r="D38" s="2" t="n">
        <x:f>LEN(C38)</x:f>
        <x:v>81</x:v>
      </x:c>
      <x:c r="E38" s="2" t="n">
        <x:v>90</x:v>
      </x:c>
      <x:c r="F38" s="2" t="str">
        <x:f>IF(D38&lt;=E38,"Within limit","SHORTEN COPY")</x:f>
        <x:v>Within limit</x:v>
      </x:c>
    </x:row>
    <x:row r="39" ht="31" customHeight="1">
      <x:c r="A39" s="2"/>
      <x:c r="B39" s="2" t="str">
        <x:v>Description 3</x:v>
      </x:c>
      <x:c r="C39" s="16" t="str">
        <x:v>Explore robotics at Novena or Katong. Contact our team to confirm session availability.</x:v>
      </x:c>
      <x:c r="D39" s="2" t="n">
        <x:f>LEN(C39)</x:f>
        <x:v>87</x:v>
      </x:c>
      <x:c r="E39" s="2" t="n">
        <x:v>90</x:v>
      </x:c>
      <x:c r="F39" s="2" t="str">
        <x:f>IF(D39&lt;=E39,"Within limit","SHORTEN COPY")</x:f>
        <x:v>Within limit</x:v>
      </x:c>
    </x:row>
    <x:row r="40" ht="31" customHeight="1">
      <x:c r="A40" s="2"/>
      <x:c r="B40" s="2" t="str">
        <x:v>Description 4</x:v>
      </x:c>
      <x:c r="C40" s="16" t="str">
        <x:v>A discovery session for parents considering robotics. Learn more about the RDA.</x:v>
      </x:c>
      <x:c r="D40" s="2" t="n">
        <x:f>LEN(C40)</x:f>
        <x:v>79</x:v>
      </x:c>
      <x:c r="E40" s="2" t="n">
        <x:v>90</x:v>
      </x:c>
      <x:c r="F40" s="2" t="str">
        <x:f>IF(D40&lt;=E40,"Within limit","SHORTEN COPY")</x:f>
        <x:v>Within limit</x:v>
      </x:c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65" customHeight="1">
      <x:c r="A44" s="2"/>
      <x:c r="B44" s="7" t="str">
        <x:v>Draft review</x:v>
      </x:c>
      <x:c r="C44" s="32" t="str">
        <x:v>Draft assets for approval. Confirm all offer wording and capacity. Both concepts use the same offer; asset reports alone do not establish a controlled A/B winner. Do not add guaranteed learning outcomes or fabricated testimonials.</x:v>
      </x:c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  <x:row r="46" ht="24" customHeight="1">
      <x:c r="A46" s="2"/>
      <x:c r="B46" s="2"/>
      <x:c r="C46" s="2"/>
      <x:c r="D46" s="2"/>
      <x:c r="E46" s="2"/>
      <x:c r="F46" s="2"/>
    </x:row>
    <x:row r="47" ht="24" customHeight="1">
      <x:c r="A47" s="2"/>
      <x:c r="B47" s="7" t="str">
        <x:v>Source for limits</x:v>
      </x:c>
      <x:c r="C47" s="7" t="str">
        <x:v>https://support.google.com/google-ads/answer/7684791?hl=en</x:v>
      </x:c>
      <x:c r="D47" s="2"/>
      <x:c r="E47" s="2"/>
      <x:c r="F47" s="2"/>
    </x:row>
    <x:row r="48" ht="24" customHeight="1">
      <x:c r="A48" s="2"/>
      <x:c r="B48" s="7" t="str">
        <x:v>Destination</x:v>
      </x:c>
      <x:c r="C48" s="7" t="str">
        <x:v>https://www.metarobotics.sg/rda.html</x:v>
      </x:c>
      <x:c r="D48" s="2"/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</x:sheetData>
  <x:conditionalFormatting sqref="F9:F22">
    <x:cfRule type="containsText" dxfId="4" priority="1" operator="containsText" text="SHORTEN"/>
  </x:conditionalFormatting>
  <x:conditionalFormatting sqref="F27:F40">
    <x:cfRule type="containsText" dxfId="5" priority="2" operator="containsText" text="SHORTEN"/>
  </x:conditionalFormatting>
  <x:pageMargins left="0.7" right="0.7" top="0.75" bottom="0.75" header="0.3" footer="0.3"/>
</x:worksheet>
</file>